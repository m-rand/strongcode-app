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ults" sheetId="2" r:id="rId6"/>
    <sheet state="visible" name="Output" sheetId="3" r:id="rId7"/>
    <sheet state="visible" name="Definitions" sheetId="4" r:id="rId8"/>
  </sheets>
  <definedNames>
    <definedName name="squat1A">Results!$N$12:$W$16</definedName>
    <definedName name="deadlift3B">Results!$Y$108:$AH$112</definedName>
    <definedName name="Session5Distribution">Definitions!$A$40</definedName>
    <definedName name="benchpress1B">Results!$Y$53:$AH$57</definedName>
    <definedName name="squat4B">Results!$Y$33:$AH$37</definedName>
    <definedName name="benchpress4C">Results!$AJ$74:$AS$78</definedName>
    <definedName name="Session3Distribution">Definitions!$A$28:$A$33</definedName>
    <definedName name="benchpress4A">Results!$N$74:$W$78</definedName>
    <definedName name="deadlift1C">Results!$AJ$94:$AS$98</definedName>
    <definedName name="deadlift1B">Results!$Y$94:$AH$98</definedName>
    <definedName name="squat1C">Results!$AJ$12:$AS$16</definedName>
    <definedName name="benchpress3B">Results!$Y$67:$AH$71</definedName>
    <definedName name="Week2Distribution">Definitions!$G$21:$H$22</definedName>
    <definedName name="benchpress2B">Results!$Y$60:$AH$64</definedName>
    <definedName name="squat2B">Results!$Y$19:$AH$23</definedName>
    <definedName name="squat3A">Results!$N$26:$W$30</definedName>
    <definedName name="squat3B">Results!$Y$26:$AH$30</definedName>
    <definedName name="deadlift4B">Results!$Y$115:$AH$119</definedName>
    <definedName name="deadlift1A">Results!$N$94:$W$98</definedName>
    <definedName name="squat3C">Results!$AJ$26:$AS$30</definedName>
    <definedName name="deadlift4C">Results!$AJ$115:$AS$119</definedName>
    <definedName name="deadlift2A">Results!$N$101:$W$105</definedName>
    <definedName name="benchpress1C">Results!$AJ$53:$AS$57</definedName>
    <definedName name="deadlift2B">Results!$Y$101:$AH$105</definedName>
    <definedName name="benchpress3C">Results!$AJ$67:$AS$71</definedName>
    <definedName name="squat2C">Results!$AJ$19:$AS$23</definedName>
    <definedName name="squat2A">Results!$N$19:$W$23</definedName>
    <definedName name="Session2Distribution">Definitions!$A$21:$A$25</definedName>
    <definedName name="benchpress3A">Results!$N$67:$W$71</definedName>
    <definedName name="deadlift3C">Results!$AJ$108:$AS$112</definedName>
    <definedName name="squat4C">Results!$AJ$33:$AS$37</definedName>
    <definedName name="benchpress2C">Results!$AJ$60:$AS$64</definedName>
    <definedName name="Session4Distribution">Definitions!$A$36:$A$37</definedName>
    <definedName name="squat1B">Results!$Y$12:$AH$16</definedName>
    <definedName name="deadlift4A">Results!$N$115:$W$119</definedName>
    <definedName name="benchpress1A">Results!$N$53:$W$57</definedName>
    <definedName name="deadlift2C">Results!$AJ$101:$AS$105</definedName>
    <definedName name="benchpress4B">Results!$Y$74:$AH$78</definedName>
    <definedName name="Week3Distribution">Definitions!$G$28:$G$33</definedName>
    <definedName name="deadlift3A">Results!$N$108:$W$112</definedName>
    <definedName name="squat4A">Results!$N$33:$W$37</definedName>
    <definedName name="benchpress2A">Results!$N$60:$W$64</definedName>
  </definedNames>
  <calcPr/>
</workbook>
</file>

<file path=xl/sharedStrings.xml><?xml version="1.0" encoding="utf-8"?>
<sst xmlns="http://schemas.openxmlformats.org/spreadsheetml/2006/main" count="786" uniqueCount="172">
  <si>
    <t>Name</t>
  </si>
  <si>
    <t>Kateřina Balášová</t>
  </si>
  <si>
    <t>Lift</t>
  </si>
  <si>
    <t>squat</t>
  </si>
  <si>
    <t>advanced</t>
  </si>
  <si>
    <t>prep</t>
  </si>
  <si>
    <t>1RM</t>
  </si>
  <si>
    <t>Rounding</t>
  </si>
  <si>
    <t>Monthly NL</t>
  </si>
  <si>
    <t>Cycle [weeks]</t>
  </si>
  <si>
    <t>Cycle NL</t>
  </si>
  <si>
    <t>Zone</t>
  </si>
  <si>
    <t>Weight [kg]</t>
  </si>
  <si>
    <t>Weight [%]</t>
  </si>
  <si>
    <t>Percentage</t>
  </si>
  <si>
    <t>Reps</t>
  </si>
  <si>
    <t>Weight Hint</t>
  </si>
  <si>
    <t>Range</t>
  </si>
  <si>
    <t>Wiggle</t>
  </si>
  <si>
    <t>50-60%</t>
  </si>
  <si>
    <t>61-70%</t>
  </si>
  <si>
    <t>71-80%</t>
  </si>
  <si>
    <t>81-90%</t>
  </si>
  <si>
    <t>91-94%</t>
  </si>
  <si>
    <t>95-100%</t>
  </si>
  <si>
    <t>(H)ARI</t>
  </si>
  <si>
    <t>Main variant</t>
  </si>
  <si>
    <t>3a</t>
  </si>
  <si>
    <t>81-90 variant</t>
  </si>
  <si>
    <t>2a</t>
  </si>
  <si>
    <t>Int.zone / Week</t>
  </si>
  <si>
    <t>%1RM / NL</t>
  </si>
  <si>
    <t>ARI</t>
  </si>
  <si>
    <t>days / week</t>
  </si>
  <si>
    <t>d25_33_42</t>
  </si>
  <si>
    <t>distribution in a week</t>
  </si>
  <si>
    <t>d20_35_45</t>
  </si>
  <si>
    <t>LHM</t>
  </si>
  <si>
    <t>#reps</t>
  </si>
  <si>
    <t>d22_28_50</t>
  </si>
  <si>
    <t>MLH</t>
  </si>
  <si>
    <t>d20_30_50</t>
  </si>
  <si>
    <t>MHL</t>
  </si>
  <si>
    <t>d15_35_50</t>
  </si>
  <si>
    <t>HLM</t>
  </si>
  <si>
    <t>d15_30_55</t>
  </si>
  <si>
    <t>HML</t>
  </si>
  <si>
    <t>d40_60</t>
  </si>
  <si>
    <t>d35_65</t>
  </si>
  <si>
    <t>HM</t>
  </si>
  <si>
    <t>MH</t>
  </si>
  <si>
    <t>d30_70</t>
  </si>
  <si>
    <t>d25_75</t>
  </si>
  <si>
    <t>d20_80</t>
  </si>
  <si>
    <t>bench press</t>
  </si>
  <si>
    <t>1-3a</t>
  </si>
  <si>
    <t>LMH</t>
  </si>
  <si>
    <t>Kateřina</t>
  </si>
  <si>
    <t>deadlift</t>
  </si>
  <si>
    <t>Monthly #reps</t>
  </si>
  <si>
    <t>Cycle #reps</t>
  </si>
  <si>
    <t>4-2a</t>
  </si>
  <si>
    <t>3c</t>
  </si>
  <si>
    <t>Week</t>
  </si>
  <si>
    <t>session 1</t>
  </si>
  <si>
    <t>session 2</t>
  </si>
  <si>
    <t>session 3</t>
  </si>
  <si>
    <t>session 4</t>
  </si>
  <si>
    <t>session 5</t>
  </si>
  <si>
    <t>SQ A</t>
  </si>
  <si>
    <t>BP B</t>
  </si>
  <si>
    <t>SQ B</t>
  </si>
  <si>
    <t>SQ C</t>
  </si>
  <si>
    <t>--</t>
  </si>
  <si>
    <t>BP A</t>
  </si>
  <si>
    <t>DL B</t>
  </si>
  <si>
    <t>BP C</t>
  </si>
  <si>
    <t>DL A</t>
  </si>
  <si>
    <t>DL C</t>
  </si>
  <si>
    <t>lift</t>
  </si>
  <si>
    <t>round</t>
  </si>
  <si>
    <t>cycle</t>
  </si>
  <si>
    <t>NL</t>
  </si>
  <si>
    <t>NL&gt;90</t>
  </si>
  <si>
    <t>Main</t>
  </si>
  <si>
    <t>Notes</t>
  </si>
  <si>
    <t>Comp variant</t>
  </si>
  <si>
    <t>Comp paused</t>
  </si>
  <si>
    <t>High Bar</t>
  </si>
  <si>
    <t>week
#</t>
  </si>
  <si>
    <t>Main
Weight</t>
  </si>
  <si>
    <t>Assist
Weight</t>
  </si>
  <si>
    <t>Range
±</t>
  </si>
  <si>
    <t>session A</t>
  </si>
  <si>
    <t>session B</t>
  </si>
  <si>
    <t>session C</t>
  </si>
  <si>
    <t>sets</t>
  </si>
  <si>
    <t>%1RM</t>
  </si>
  <si>
    <t>rep rng</t>
  </si>
  <si>
    <t>% of main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</si>
  <si>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</si>
  <si>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</si>
  <si>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</si>
  <si>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</si>
  <si>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</si>
  <si>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</si>
  <si>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</si>
  <si>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</si>
  <si>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</si>
  <si>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</si>
  <si>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RPE</t>
  </si>
  <si>
    <t>Comp variant max grip width</t>
  </si>
  <si>
    <t>Larsen Mid-Grip</t>
  </si>
  <si>
    <t>Board</t>
  </si>
  <si>
    <t>Comp Variant</t>
  </si>
  <si>
    <t>Sumo</t>
  </si>
  <si>
    <t>Block / Rack</t>
  </si>
  <si>
    <t>Romanian Deadlift</t>
  </si>
  <si>
    <t>week 1</t>
  </si>
  <si>
    <t>week 2</t>
  </si>
  <si>
    <t>week 3</t>
  </si>
  <si>
    <t>week 4</t>
  </si>
  <si>
    <t>session</t>
  </si>
  <si>
    <t>weight</t>
  </si>
  <si>
    <t>A</t>
  </si>
  <si>
    <t>benchpress</t>
  </si>
  <si>
    <t>Assistance / Accessories</t>
  </si>
  <si>
    <t>Power Clean (+ jerk on last rep)</t>
  </si>
  <si>
    <t>5x3 @ up to RPE9</t>
  </si>
  <si>
    <t>B</t>
  </si>
  <si>
    <t>Ring Rows (single arm?)</t>
  </si>
  <si>
    <t>3x max</t>
  </si>
  <si>
    <t>Push Up</t>
  </si>
  <si>
    <t>3x max @ +15-25</t>
  </si>
  <si>
    <t>Weighted Plank</t>
  </si>
  <si>
    <t>3x max @ 40-60kg</t>
  </si>
  <si>
    <t>C</t>
  </si>
  <si>
    <t>Snatch Grip High Pull</t>
  </si>
  <si>
    <t>3x10 @ 20</t>
  </si>
  <si>
    <t>Pin Good Morning (SSB)</t>
  </si>
  <si>
    <t>3x6-10 @ RPE7-9</t>
  </si>
  <si>
    <t>D</t>
  </si>
  <si>
    <t>Pull Up</t>
  </si>
  <si>
    <t>3x max / 8-10x3 (short rests)</t>
  </si>
  <si>
    <t>Triceps Pushdown</t>
  </si>
  <si>
    <t>3x 8-12 @ max</t>
  </si>
  <si>
    <t>Volume Distribution Variant</t>
  </si>
  <si>
    <t>Advanced</t>
  </si>
  <si>
    <t>Elite</t>
  </si>
  <si>
    <t>1</t>
  </si>
  <si>
    <t>2b</t>
  </si>
  <si>
    <t>2c</t>
  </si>
  <si>
    <t>3b</t>
  </si>
  <si>
    <t>1-3b</t>
  </si>
  <si>
    <t>3-1a</t>
  </si>
  <si>
    <t>3-1b</t>
  </si>
  <si>
    <t>4</t>
  </si>
  <si>
    <t>2-4a</t>
  </si>
  <si>
    <t>2-4b</t>
  </si>
  <si>
    <t>4-2b</t>
  </si>
  <si>
    <t>Two Session Distribution</t>
  </si>
  <si>
    <t>Two Week Distribution</t>
  </si>
  <si>
    <t>base</t>
  </si>
  <si>
    <t>elite</t>
  </si>
  <si>
    <t>Three Session Distribution</t>
  </si>
  <si>
    <t>Three Week Distribution</t>
  </si>
  <si>
    <t>Four Session Distribution</t>
  </si>
  <si>
    <t>d15_22_28_35</t>
  </si>
  <si>
    <t>d10_20_30_40</t>
  </si>
  <si>
    <t>Five Session Distribution</t>
  </si>
  <si>
    <t>d10_15_20_25_30</t>
  </si>
  <si>
    <t>Lift In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</si>
</sst>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d-m"/>
  </numFmts>
  <fonts count="18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Consolas"/>
    </font>
    <font>
      <color rgb="FF000000"/>
      <name val="Consolas"/>
    </font>
    <font>
      <color rgb="FF000000"/>
      <name val="Arial"/>
      <scheme val="minor"/>
    </font>
    <font>
      <b/>
      <color rgb="FF000000"/>
      <name val="Consolas"/>
    </font>
    <font>
      <b/>
      <color theme="1"/>
      <name val="Consolas"/>
    </font>
    <font>
      <color rgb="FF45818E"/>
      <name val="Consolas"/>
    </font>
    <font>
      <color theme="1"/>
      <name val="Consolas"/>
    </font>
    <font>
      <sz val="10.0"/>
      <color rgb="FF000000"/>
      <name val="Consolas"/>
    </font>
    <font>
      <b/>
      <color rgb="FF45818E"/>
      <name val="Consolas"/>
    </font>
    <font>
      <b/>
      <sz val="10.0"/>
      <color rgb="FF45818E"/>
      <name val="Consolas"/>
    </font>
    <font/>
    <font>
      <color theme="1"/>
      <name val="Arial"/>
      <scheme val="minor"/>
    </font>
    <font>
      <b/>
      <sz val="10.0"/>
      <color theme="1"/>
      <name val="Consolas"/>
    </font>
    <font>
      <color theme="1"/>
      <name val="Arial"/>
    </font>
    <font>
      <sz val="10.0"/>
      <color theme="1"/>
      <name val="Arial"/>
    </font>
    <font>
      <sz val="10.0"/>
      <color theme="1"/>
      <name val="Consolas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  <xf borderId="2" fillId="2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2" fillId="0" fontId="3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/>
    </xf>
    <xf borderId="2" fillId="0" fontId="3" numFmtId="1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 shrinkToFit="0" wrapText="1"/>
    </xf>
    <xf borderId="3" fillId="2" fontId="2" numFmtId="0" xfId="0" applyAlignment="1" applyBorder="1" applyFont="1">
      <alignment readingOrder="0"/>
    </xf>
    <xf borderId="3" fillId="0" fontId="3" numFmtId="0" xfId="0" applyAlignment="1" applyBorder="1" applyFont="1">
      <alignment horizontal="center" vertical="center"/>
    </xf>
    <xf borderId="0" fillId="0" fontId="0" numFmtId="0" xfId="0" applyFont="1"/>
    <xf borderId="4" fillId="2" fontId="2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vertical="center"/>
    </xf>
    <xf borderId="2" fillId="0" fontId="7" numFmtId="1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vertical="center"/>
    </xf>
    <xf borderId="3" fillId="0" fontId="3" numFmtId="165" xfId="0" applyAlignment="1" applyBorder="1" applyFont="1" applyNumberFormat="1">
      <alignment horizontal="center" vertical="center"/>
    </xf>
    <xf borderId="3" fillId="0" fontId="3" numFmtId="10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7" numFmtId="10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readingOrder="0"/>
    </xf>
    <xf borderId="4" fillId="0" fontId="3" numFmtId="10" xfId="0" applyAlignment="1" applyBorder="1" applyFont="1" applyNumberFormat="1">
      <alignment horizontal="center"/>
    </xf>
    <xf borderId="1" fillId="2" fontId="2" numFmtId="0" xfId="0" applyBorder="1" applyFont="1"/>
    <xf borderId="1" fillId="2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3" fillId="2" fontId="2" numFmtId="0" xfId="0" applyBorder="1" applyFont="1"/>
    <xf borderId="3" fillId="2" fontId="10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2" fillId="2" fontId="2" numFmtId="0" xfId="0" applyAlignment="1" applyBorder="1" applyFont="1">
      <alignment horizontal="center" readingOrder="0" vertical="bottom"/>
    </xf>
    <xf borderId="2" fillId="0" fontId="4" numFmtId="0" xfId="0" applyBorder="1" applyFont="1"/>
    <xf borderId="0" fillId="0" fontId="3" numFmtId="0" xfId="0" applyAlignment="1" applyFont="1">
      <alignment horizontal="center" vertical="center"/>
    </xf>
    <xf borderId="2" fillId="2" fontId="2" numFmtId="9" xfId="0" applyAlignment="1" applyBorder="1" applyFont="1" applyNumberFormat="1">
      <alignment horizontal="center" vertical="bottom"/>
    </xf>
    <xf borderId="2" fillId="2" fontId="2" numFmtId="9" xfId="0" applyAlignment="1" applyBorder="1" applyFont="1" applyNumberFormat="1">
      <alignment horizontal="center" readingOrder="0" vertical="bottom"/>
    </xf>
    <xf borderId="2" fillId="2" fontId="2" numFmtId="10" xfId="0" applyAlignment="1" applyBorder="1" applyFont="1" applyNumberFormat="1">
      <alignment horizontal="center" readingOrder="0" vertical="bottom"/>
    </xf>
    <xf borderId="2" fillId="3" fontId="7" numFmtId="0" xfId="0" applyAlignment="1" applyBorder="1" applyFill="1" applyFont="1">
      <alignment horizontal="center" readingOrder="0" vertical="center"/>
    </xf>
    <xf borderId="3" fillId="2" fontId="2" numFmtId="9" xfId="0" applyAlignment="1" applyBorder="1" applyFont="1" applyNumberFormat="1">
      <alignment horizontal="center" readingOrder="0" vertical="center"/>
    </xf>
    <xf borderId="3" fillId="3" fontId="7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4" fontId="2" numFmtId="0" xfId="0" applyAlignment="1" applyBorder="1" applyFill="1" applyFont="1">
      <alignment horizontal="center" readingOrder="0"/>
    </xf>
    <xf borderId="4" fillId="4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2" fontId="11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left" readingOrder="0" vertical="center"/>
    </xf>
    <xf borderId="6" fillId="0" fontId="12" numFmtId="0" xfId="0" applyBorder="1" applyFont="1"/>
    <xf borderId="7" fillId="0" fontId="1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5" fillId="2" fontId="5" numFmtId="0" xfId="0" applyAlignment="1" applyBorder="1" applyFont="1">
      <alignment horizontal="left" readingOrder="0" shrinkToFit="0" vertical="center" wrapText="0"/>
    </xf>
    <xf borderId="2" fillId="2" fontId="11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0" xfId="0" applyFont="1"/>
    <xf borderId="2" fillId="2" fontId="2" numFmtId="0" xfId="0" applyAlignment="1" applyBorder="1" applyFont="1">
      <alignment horizontal="center" readingOrder="0" vertical="center"/>
    </xf>
    <xf borderId="0" fillId="0" fontId="3" numFmtId="49" xfId="0" applyAlignment="1" applyFont="1" applyNumberFormat="1">
      <alignment horizontal="right"/>
    </xf>
    <xf borderId="0" fillId="5" fontId="1" numFmtId="0" xfId="0" applyFill="1" applyFont="1"/>
    <xf borderId="0" fillId="5" fontId="13" numFmtId="0" xfId="0" applyFont="1"/>
    <xf borderId="0" fillId="5" fontId="3" numFmtId="0" xfId="0" applyAlignment="1" applyFont="1">
      <alignment horizontal="right"/>
    </xf>
    <xf borderId="1" fillId="2" fontId="6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9" fillId="0" fontId="7" numFmtId="10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horizontal="center" vertical="center"/>
    </xf>
    <xf borderId="11" fillId="0" fontId="7" numFmtId="10" xfId="0" applyAlignment="1" applyBorder="1" applyFont="1" applyNumberFormat="1">
      <alignment horizontal="center" readingOrder="0" vertical="center"/>
    </xf>
    <xf borderId="1" fillId="2" fontId="14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2" fillId="2" fontId="14" numFmtId="0" xfId="0" applyAlignment="1" applyBorder="1" applyFont="1">
      <alignment vertical="bottom"/>
    </xf>
    <xf borderId="9" fillId="0" fontId="8" numFmtId="0" xfId="0" applyAlignment="1" applyBorder="1" applyFont="1">
      <alignment horizontal="center" readingOrder="0"/>
    </xf>
    <xf borderId="2" fillId="2" fontId="16" numFmtId="0" xfId="0" applyAlignment="1" applyBorder="1" applyFont="1">
      <alignment vertical="bottom"/>
    </xf>
    <xf borderId="9" fillId="0" fontId="8" numFmtId="0" xfId="0" applyAlignment="1" applyBorder="1" applyFont="1">
      <alignment horizontal="center"/>
    </xf>
    <xf borderId="9" fillId="0" fontId="8" numFmtId="164" xfId="0" applyAlignment="1" applyBorder="1" applyFont="1" applyNumberFormat="1">
      <alignment horizontal="center" readingOrder="0"/>
    </xf>
    <xf borderId="2" fillId="2" fontId="14" numFmtId="0" xfId="0" applyAlignment="1" applyBorder="1" applyFont="1">
      <alignment readingOrder="0" vertical="bottom"/>
    </xf>
    <xf borderId="9" fillId="0" fontId="8" numFmtId="1" xfId="0" applyAlignment="1" applyBorder="1" applyFont="1" applyNumberFormat="1">
      <alignment horizontal="center" readingOrder="0"/>
    </xf>
    <xf borderId="2" fillId="2" fontId="14" numFmtId="0" xfId="0" applyAlignment="1" applyBorder="1" applyFont="1">
      <alignment shrinkToFit="0" vertical="bottom" wrapText="1"/>
    </xf>
    <xf borderId="3" fillId="2" fontId="14" numFmtId="0" xfId="0" applyAlignment="1" applyBorder="1" applyFont="1">
      <alignment readingOrder="0" vertical="bottom"/>
    </xf>
    <xf borderId="11" fillId="0" fontId="8" numFmtId="0" xfId="0" applyAlignment="1" applyBorder="1" applyFont="1">
      <alignment horizontal="center"/>
    </xf>
    <xf borderId="12" fillId="0" fontId="16" numFmtId="0" xfId="0" applyAlignment="1" applyBorder="1" applyFont="1">
      <alignment vertical="bottom"/>
    </xf>
    <xf borderId="12" fillId="0" fontId="15" numFmtId="0" xfId="0" applyAlignment="1" applyBorder="1" applyFont="1">
      <alignment vertical="bottom"/>
    </xf>
    <xf borderId="3" fillId="2" fontId="14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/>
    </xf>
    <xf borderId="9" fillId="0" fontId="15" numFmtId="0" xfId="0" applyAlignment="1" applyBorder="1" applyFont="1">
      <alignment vertical="bottom"/>
    </xf>
    <xf borderId="2" fillId="2" fontId="14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/>
    </xf>
    <xf borderId="9" fillId="0" fontId="8" numFmtId="165" xfId="0" applyAlignment="1" applyBorder="1" applyFont="1" applyNumberFormat="1">
      <alignment horizontal="center"/>
    </xf>
    <xf borderId="9" fillId="0" fontId="7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9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horizontal="center" readingOrder="0"/>
    </xf>
    <xf borderId="11" fillId="0" fontId="8" numFmtId="165" xfId="0" applyAlignment="1" applyBorder="1" applyFont="1" applyNumberFormat="1">
      <alignment horizontal="center"/>
    </xf>
    <xf borderId="11" fillId="0" fontId="8" numFmtId="10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/>
    </xf>
    <xf borderId="11" fillId="0" fontId="7" numFmtId="10" xfId="0" applyAlignment="1" applyBorder="1" applyFont="1" applyNumberFormat="1">
      <alignment horizontal="center" readingOrder="0"/>
    </xf>
    <xf borderId="3" fillId="2" fontId="14" numFmtId="0" xfId="0" applyAlignment="1" applyBorder="1" applyFont="1">
      <alignment vertical="bottom"/>
    </xf>
    <xf borderId="11" fillId="0" fontId="8" numFmtId="10" xfId="0" applyAlignment="1" applyBorder="1" applyFont="1" applyNumberFormat="1">
      <alignment horizontal="center" vertical="bottom"/>
    </xf>
    <xf borderId="9" fillId="2" fontId="10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vertical="bottom"/>
    </xf>
    <xf borderId="11" fillId="2" fontId="10" numFmtId="0" xfId="0" applyAlignment="1" applyBorder="1" applyFont="1">
      <alignment horizontal="center" readingOrder="0" vertical="bottom"/>
    </xf>
    <xf borderId="11" fillId="0" fontId="8" numFmtId="0" xfId="0" applyAlignment="1" applyBorder="1" applyFont="1">
      <alignment horizontal="center" vertical="bottom"/>
    </xf>
    <xf borderId="0" fillId="0" fontId="15" numFmtId="0" xfId="0" applyFont="1"/>
    <xf borderId="9" fillId="0" fontId="15" numFmtId="0" xfId="0" applyBorder="1" applyFont="1"/>
    <xf borderId="0" fillId="0" fontId="8" numFmtId="0" xfId="0" applyAlignment="1" applyFont="1">
      <alignment horizontal="center"/>
    </xf>
    <xf borderId="2" fillId="2" fontId="14" numFmtId="9" xfId="0" applyAlignment="1" applyBorder="1" applyFont="1" applyNumberFormat="1">
      <alignment horizontal="center" vertical="bottom"/>
    </xf>
    <xf borderId="2" fillId="2" fontId="14" numFmtId="10" xfId="0" applyAlignment="1" applyBorder="1" applyFont="1" applyNumberFormat="1">
      <alignment horizontal="center" vertical="bottom"/>
    </xf>
    <xf borderId="9" fillId="3" fontId="7" numFmtId="0" xfId="0" applyAlignment="1" applyBorder="1" applyFont="1">
      <alignment horizontal="center" readingOrder="0"/>
    </xf>
    <xf borderId="3" fillId="2" fontId="14" numFmtId="9" xfId="0" applyAlignment="1" applyBorder="1" applyFont="1" applyNumberFormat="1">
      <alignment horizontal="center"/>
    </xf>
    <xf borderId="11" fillId="3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 readingOrder="0"/>
    </xf>
    <xf borderId="11" fillId="0" fontId="15" numFmtId="0" xfId="0" applyAlignment="1" applyBorder="1" applyFont="1">
      <alignment vertical="bottom"/>
    </xf>
    <xf borderId="11" fillId="0" fontId="15" numFmtId="0" xfId="0" applyBorder="1" applyFont="1"/>
    <xf borderId="3" fillId="4" fontId="14" numFmtId="0" xfId="0" applyAlignment="1" applyBorder="1" applyFont="1">
      <alignment horizontal="center" vertical="bottom"/>
    </xf>
    <xf borderId="11" fillId="4" fontId="6" numFmtId="0" xfId="0" applyAlignment="1" applyBorder="1" applyFont="1">
      <alignment horizontal="center" vertical="bottom"/>
    </xf>
    <xf borderId="11" fillId="4" fontId="15" numFmtId="0" xfId="0" applyAlignment="1" applyBorder="1" applyFont="1">
      <alignment vertical="bottom"/>
    </xf>
    <xf borderId="3" fillId="6" fontId="11" numFmtId="0" xfId="0" applyAlignment="1" applyBorder="1" applyFill="1" applyFont="1">
      <alignment horizontal="center"/>
    </xf>
    <xf borderId="12" fillId="2" fontId="6" numFmtId="0" xfId="0" applyBorder="1" applyFont="1"/>
    <xf borderId="12" fillId="0" fontId="12" numFmtId="0" xfId="0" applyBorder="1" applyFont="1"/>
    <xf borderId="11" fillId="0" fontId="12" numFmtId="0" xfId="0" applyBorder="1" applyFont="1"/>
    <xf borderId="0" fillId="0" fontId="8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/>
    </xf>
    <xf borderId="3" fillId="2" fontId="11" numFmtId="0" xfId="0" applyAlignment="1" applyBorder="1" applyFont="1">
      <alignment horizontal="center"/>
    </xf>
    <xf borderId="2" fillId="2" fontId="11" numFmtId="0" xfId="0" applyAlignment="1" applyBorder="1" applyFont="1">
      <alignment horizontal="center" readingOrder="0"/>
    </xf>
    <xf borderId="11" fillId="2" fontId="8" numFmtId="0" xfId="0" applyAlignment="1" applyBorder="1" applyFont="1">
      <alignment horizontal="center"/>
    </xf>
    <xf borderId="2" fillId="2" fontId="14" numFmtId="0" xfId="0" applyAlignment="1" applyBorder="1" applyFont="1">
      <alignment horizontal="center"/>
    </xf>
    <xf borderId="3" fillId="2" fontId="14" numFmtId="0" xfId="0" applyAlignment="1" applyBorder="1" applyFont="1">
      <alignment horizontal="center"/>
    </xf>
    <xf borderId="0" fillId="0" fontId="15" numFmtId="49" xfId="0" applyAlignment="1" applyFont="1" applyNumberFormat="1">
      <alignment vertical="bottom"/>
    </xf>
    <xf borderId="0" fillId="5" fontId="16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0" fontId="17" numFmtId="0" xfId="0" applyFont="1"/>
    <xf borderId="0" fillId="0" fontId="17" numFmtId="0" xfId="0" applyAlignment="1" applyFont="1">
      <alignment readingOrder="0"/>
    </xf>
    <xf borderId="5" fillId="2" fontId="6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13" numFmtId="0" xfId="0" applyAlignment="1" applyFont="1">
      <alignment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center" vertical="center"/>
    </xf>
    <xf borderId="5" fillId="0" fontId="8" numFmtId="49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8" numFmtId="10" xfId="0" applyAlignment="1" applyBorder="1" applyFont="1" applyNumberFormat="1">
      <alignment horizontal="center" vertical="center"/>
    </xf>
    <xf borderId="13" fillId="2" fontId="6" numFmtId="0" xfId="0" applyAlignment="1" applyBorder="1" applyFont="1">
      <alignment horizontal="left" readingOrder="0" vertical="center"/>
    </xf>
    <xf borderId="14" fillId="0" fontId="12" numFmtId="0" xfId="0" applyBorder="1" applyFont="1"/>
    <xf borderId="15" fillId="0" fontId="12" numFmtId="0" xfId="0" applyBorder="1" applyFont="1"/>
    <xf borderId="5" fillId="0" fontId="8" numFmtId="0" xfId="0" applyAlignment="1" applyBorder="1" applyFont="1">
      <alignment readingOrder="0"/>
    </xf>
    <xf borderId="8" fillId="0" fontId="12" numFmtId="0" xfId="0" applyBorder="1" applyFont="1"/>
    <xf borderId="9" fillId="0" fontId="12" numFmtId="0" xfId="0" applyBorder="1" applyFont="1"/>
    <xf borderId="13" fillId="7" fontId="8" numFmtId="0" xfId="0" applyAlignment="1" applyBorder="1" applyFill="1" applyFont="1">
      <alignment horizontal="left" readingOrder="0" vertical="center"/>
    </xf>
    <xf borderId="1" fillId="7" fontId="8" numFmtId="0" xfId="0" applyAlignment="1" applyBorder="1" applyFont="1">
      <alignment horizontal="left" readingOrder="0" vertical="center"/>
    </xf>
    <xf borderId="5" fillId="8" fontId="8" numFmtId="0" xfId="0" applyAlignment="1" applyBorder="1" applyFill="1" applyFont="1">
      <alignment horizontal="left" readingOrder="0" vertical="center"/>
    </xf>
    <xf borderId="4" fillId="8" fontId="8" numFmtId="0" xfId="0" applyAlignment="1" applyBorder="1" applyFont="1">
      <alignment horizontal="left" readingOrder="0" vertical="center"/>
    </xf>
    <xf borderId="10" fillId="0" fontId="12" numFmtId="0" xfId="0" applyBorder="1" applyFont="1"/>
    <xf borderId="10" fillId="9" fontId="8" numFmtId="0" xfId="0" applyAlignment="1" applyBorder="1" applyFill="1" applyFont="1">
      <alignment horizontal="left" readingOrder="0" vertical="center"/>
    </xf>
    <xf borderId="3" fillId="9" fontId="8" numFmtId="0" xfId="0" applyAlignment="1" applyBorder="1" applyFont="1">
      <alignment horizontal="left" readingOrder="0" vertical="center"/>
    </xf>
    <xf borderId="1" fillId="2" fontId="14" numFmtId="0" xfId="0" applyAlignment="1" applyBorder="1" applyFont="1">
      <alignment horizontal="center" readingOrder="0" vertical="center"/>
    </xf>
    <xf borderId="0" fillId="3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2" fillId="0" fontId="12" numFmtId="0" xfId="0" applyBorder="1" applyFont="1"/>
    <xf borderId="0" fillId="3" fontId="14" numFmtId="0" xfId="0" applyAlignment="1" applyFont="1">
      <alignment horizontal="center" vertical="center"/>
    </xf>
    <xf borderId="13" fillId="2" fontId="14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vertical="center"/>
    </xf>
    <xf borderId="3" fillId="0" fontId="12" numFmtId="0" xfId="0" applyBorder="1" applyFont="1"/>
    <xf borderId="4" fillId="2" fontId="14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readingOrder="0" textRotation="90" vertical="center"/>
    </xf>
    <xf borderId="1" fillId="0" fontId="17" numFmtId="165" xfId="0" applyAlignment="1" applyBorder="1" applyFont="1" applyNumberFormat="1">
      <alignment horizontal="center" vertical="center"/>
    </xf>
    <xf borderId="2" fillId="0" fontId="17" numFmtId="49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readingOrder="0" vertical="center"/>
    </xf>
    <xf borderId="0" fillId="0" fontId="17" numFmtId="9" xfId="0" applyAlignment="1" applyFont="1" applyNumberFormat="1">
      <alignment horizontal="center" readingOrder="0" vertical="center"/>
    </xf>
    <xf borderId="0" fillId="7" fontId="17" numFmtId="0" xfId="0" applyAlignment="1" applyFont="1">
      <alignment horizontal="center" vertical="center"/>
    </xf>
    <xf borderId="8" fillId="0" fontId="17" numFmtId="9" xfId="0" applyAlignment="1" applyBorder="1" applyFont="1" applyNumberFormat="1">
      <alignment horizontal="center" readingOrder="0" vertical="center"/>
    </xf>
    <xf borderId="0" fillId="8" fontId="17" numFmtId="0" xfId="0" applyAlignment="1" applyFont="1">
      <alignment horizontal="center" vertical="center"/>
    </xf>
    <xf borderId="13" fillId="3" fontId="17" numFmtId="0" xfId="0" applyAlignment="1" applyBorder="1" applyFont="1">
      <alignment horizontal="center" vertical="center"/>
    </xf>
    <xf borderId="15" fillId="3" fontId="17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left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2" fillId="0" fontId="17" numFmtId="165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readingOrder="0" vertical="center"/>
    </xf>
    <xf borderId="8" fillId="0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left" vertical="center"/>
    </xf>
    <xf borderId="2" fillId="0" fontId="8" numFmtId="166" xfId="0" applyAlignment="1" applyBorder="1" applyFont="1" applyNumberFormat="1">
      <alignment horizontal="center" vertical="center"/>
    </xf>
    <xf borderId="3" fillId="0" fontId="17" numFmtId="165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left" vertical="center"/>
    </xf>
    <xf borderId="13" fillId="0" fontId="14" numFmtId="0" xfId="0" applyAlignment="1" applyBorder="1" applyFont="1">
      <alignment horizontal="center" readingOrder="0" vertical="center"/>
    </xf>
    <xf borderId="13" fillId="0" fontId="17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7" fillId="2" fontId="17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3" fillId="0" fontId="9" numFmtId="165" xfId="0" applyAlignment="1" applyBorder="1" applyFont="1" applyNumberFormat="1">
      <alignment horizontal="center" vertical="center"/>
    </xf>
    <xf borderId="2" fillId="0" fontId="9" numFmtId="49" xfId="0" applyAlignment="1" applyBorder="1" applyFont="1" applyNumberForma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0" fillId="7" fontId="17" numFmtId="0" xfId="0" applyAlignment="1" applyFont="1">
      <alignment horizontal="center" readingOrder="0" vertical="center"/>
    </xf>
    <xf borderId="0" fillId="8" fontId="15" numFmtId="0" xfId="0" applyAlignment="1" applyFont="1">
      <alignment horizontal="center" readingOrder="0" vertical="center"/>
    </xf>
    <xf borderId="8" fillId="0" fontId="9" numFmtId="165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8" fillId="3" fontId="17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 vertical="center"/>
    </xf>
    <xf borderId="10" fillId="0" fontId="9" numFmtId="165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vertical="center"/>
    </xf>
    <xf borderId="10" fillId="3" fontId="17" numFmtId="0" xfId="0" applyAlignment="1" applyBorder="1" applyFont="1">
      <alignment horizontal="center" vertical="center"/>
    </xf>
    <xf borderId="12" fillId="3" fontId="17" numFmtId="0" xfId="0" applyAlignment="1" applyBorder="1" applyFont="1">
      <alignment horizontal="center" vertical="center"/>
    </xf>
    <xf borderId="10" fillId="0" fontId="17" numFmtId="9" xfId="0" applyAlignment="1" applyBorder="1" applyFont="1" applyNumberFormat="1">
      <alignment horizontal="center" readingOrder="0" vertical="center"/>
    </xf>
    <xf borderId="12" fillId="0" fontId="15" numFmtId="0" xfId="0" applyAlignment="1" applyBorder="1" applyFont="1">
      <alignment horizontal="center" vertical="center"/>
    </xf>
    <xf borderId="5" fillId="0" fontId="8" numFmtId="1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readingOrder="0"/>
    </xf>
    <xf borderId="13" fillId="0" fontId="17" numFmtId="49" xfId="0" applyAlignment="1" applyBorder="1" applyFont="1" applyNumberFormat="1">
      <alignment horizontal="center" vertical="center"/>
    </xf>
    <xf borderId="15" fillId="0" fontId="8" numFmtId="166" xfId="0" applyAlignment="1" applyBorder="1" applyFont="1" applyNumberFormat="1">
      <alignment horizontal="center" readingOrder="0" vertical="center"/>
    </xf>
    <xf borderId="13" fillId="0" fontId="17" numFmtId="9" xfId="0" applyAlignment="1" applyBorder="1" applyFont="1" applyNumberFormat="1">
      <alignment horizontal="center" readingOrder="0" vertical="center"/>
    </xf>
    <xf borderId="14" fillId="9" fontId="17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readingOrder="0" vertical="center"/>
    </xf>
    <xf borderId="8" fillId="8" fontId="17" numFmtId="0" xfId="0" applyAlignment="1" applyBorder="1" applyFont="1">
      <alignment horizontal="center" readingOrder="0" vertical="center"/>
    </xf>
    <xf borderId="0" fillId="8" fontId="17" numFmtId="0" xfId="0" applyAlignment="1" applyFont="1">
      <alignment horizontal="center" readingOrder="0" vertical="center"/>
    </xf>
    <xf borderId="8" fillId="0" fontId="17" numFmtId="49" xfId="0" applyAlignment="1" applyBorder="1" applyFont="1" applyNumberFormat="1">
      <alignment horizontal="center" vertical="center"/>
    </xf>
    <xf borderId="9" fillId="0" fontId="8" numFmtId="166" xfId="0" applyAlignment="1" applyBorder="1" applyFont="1" applyNumberFormat="1">
      <alignment horizontal="center" readingOrder="0" vertical="center"/>
    </xf>
    <xf borderId="0" fillId="9" fontId="17" numFmtId="0" xfId="0" applyAlignment="1" applyFont="1">
      <alignment horizontal="center" vertical="center"/>
    </xf>
    <xf borderId="9" fillId="0" fontId="8" numFmtId="166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vertical="center"/>
    </xf>
    <xf borderId="10" fillId="0" fontId="17" numFmtId="49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9" fontId="17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readingOrder="0" vertical="center"/>
    </xf>
    <xf borderId="1" fillId="0" fontId="17" numFmtId="49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13" fillId="8" fontId="17" numFmtId="0" xfId="0" applyAlignment="1" applyBorder="1" applyFont="1">
      <alignment horizontal="center" readingOrder="0" vertical="center"/>
    </xf>
    <xf borderId="14" fillId="0" fontId="17" numFmtId="0" xfId="0" applyAlignment="1" applyBorder="1" applyFont="1">
      <alignment horizontal="center" readingOrder="0" vertical="center"/>
    </xf>
    <xf borderId="14" fillId="8" fontId="17" numFmtId="0" xfId="0" applyAlignment="1" applyBorder="1" applyFont="1">
      <alignment horizontal="center" readingOrder="0" vertical="center"/>
    </xf>
    <xf borderId="3" fillId="0" fontId="17" numFmtId="49" xfId="0" applyAlignment="1" applyBorder="1" applyFont="1" applyNumberFormat="1">
      <alignment horizontal="center" vertical="center"/>
    </xf>
    <xf borderId="8" fillId="9" fontId="17" numFmtId="0" xfId="0" applyAlignment="1" applyBorder="1" applyFont="1">
      <alignment horizontal="center" readingOrder="0" vertical="center"/>
    </xf>
    <xf borderId="0" fillId="9" fontId="17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 vertical="center"/>
    </xf>
    <xf borderId="12" fillId="9" fontId="17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0" fillId="3" fontId="15" numFmtId="0" xfId="0" applyAlignment="1" applyFont="1">
      <alignment vertical="center"/>
    </xf>
    <xf borderId="9" fillId="0" fontId="15" numFmtId="0" xfId="0" applyAlignment="1" applyBorder="1" applyFont="1">
      <alignment vertical="center"/>
    </xf>
    <xf borderId="15" fillId="2" fontId="6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9" fillId="3" fontId="15" numFmtId="0" xfId="0" applyAlignment="1" applyBorder="1" applyFont="1">
      <alignment vertical="center"/>
    </xf>
    <xf borderId="6" fillId="2" fontId="6" numFmtId="0" xfId="0" applyAlignment="1" applyBorder="1" applyFont="1">
      <alignment horizontal="center" vertical="center"/>
    </xf>
    <xf borderId="15" fillId="2" fontId="15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12" fillId="3" fontId="15" numFmtId="0" xfId="0" applyAlignment="1" applyBorder="1" applyFont="1">
      <alignment vertical="center"/>
    </xf>
    <xf borderId="11" fillId="3" fontId="15" numFmtId="0" xfId="0" applyAlignment="1" applyBorder="1" applyFont="1">
      <alignment vertical="center"/>
    </xf>
    <xf borderId="12" fillId="2" fontId="6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1" fillId="0" fontId="15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textRotation="90" vertical="center"/>
    </xf>
    <xf borderId="9" fillId="0" fontId="8" numFmtId="165" xfId="0" applyAlignment="1" applyBorder="1" applyFont="1" applyNumberFormat="1">
      <alignment horizontal="center" vertical="center"/>
    </xf>
    <xf borderId="9" fillId="0" fontId="8" numFmtId="49" xfId="0" applyAlignment="1" applyBorder="1" applyFont="1" applyNumberFormat="1">
      <alignment horizontal="center" vertical="center"/>
    </xf>
    <xf borderId="0" fillId="0" fontId="8" numFmtId="9" xfId="0" applyAlignment="1" applyFont="1" applyNumberFormat="1">
      <alignment horizontal="center" readingOrder="0" vertical="center"/>
    </xf>
    <xf borderId="9" fillId="7" fontId="8" numFmtId="0" xfId="0" applyAlignment="1" applyBorder="1" applyFont="1">
      <alignment horizontal="center" vertical="center"/>
    </xf>
    <xf borderId="9" fillId="8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0" fillId="7" fontId="15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2" fillId="3" fontId="8" numFmtId="0" xfId="0" applyAlignment="1" applyBorder="1" applyFont="1">
      <alignment vertical="center"/>
    </xf>
    <xf borderId="12" fillId="0" fontId="15" numFmtId="0" xfId="0" applyAlignment="1" applyBorder="1" applyFont="1">
      <alignment vertical="center"/>
    </xf>
    <xf borderId="3" fillId="3" fontId="8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1" fillId="2" fontId="8" numFmtId="0" xfId="0" applyAlignment="1" applyBorder="1" applyFon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12" fillId="0" fontId="8" numFmtId="9" xfId="0" applyAlignment="1" applyBorder="1" applyFont="1" applyNumberFormat="1">
      <alignment horizontal="center" readingOrder="0" vertical="center"/>
    </xf>
    <xf borderId="11" fillId="9" fontId="8" numFmtId="0" xfId="0" applyAlignment="1" applyBorder="1" applyFont="1">
      <alignment horizontal="center" vertical="center"/>
    </xf>
    <xf borderId="0" fillId="10" fontId="15" numFmtId="0" xfId="0" applyAlignment="1" applyFill="1" applyFont="1">
      <alignment horizontal="center" readingOrder="0" vertical="center"/>
    </xf>
    <xf borderId="12" fillId="0" fontId="15" numFmtId="9" xfId="0" applyAlignment="1" applyBorder="1" applyFont="1" applyNumberFormat="1">
      <alignment vertical="center"/>
    </xf>
    <xf borderId="0" fillId="9" fontId="15" numFmtId="0" xfId="0" applyAlignment="1" applyFont="1">
      <alignment horizontal="center" readingOrder="0" vertical="center"/>
    </xf>
    <xf borderId="5" fillId="2" fontId="14" numFmtId="0" xfId="0" applyAlignment="1" applyBorder="1" applyFont="1">
      <alignment readingOrder="0" vertical="center"/>
    </xf>
    <xf borderId="5" fillId="2" fontId="14" numFmtId="0" xfId="0" applyAlignment="1" applyBorder="1" applyFont="1">
      <alignment horizontal="left" readingOrder="0" vertical="center"/>
    </xf>
    <xf borderId="13" fillId="0" fontId="17" numFmtId="0" xfId="0" applyAlignment="1" applyBorder="1" applyFont="1">
      <alignment horizontal="left" readingOrder="0" vertical="center"/>
    </xf>
    <xf borderId="5" fillId="0" fontId="17" numFmtId="0" xfId="0" applyAlignment="1" applyBorder="1" applyFont="1">
      <alignment horizontal="left" vertical="center"/>
    </xf>
    <xf borderId="5" fillId="0" fontId="17" numFmtId="49" xfId="0" applyAlignment="1" applyBorder="1" applyFont="1" applyNumberFormat="1">
      <alignment horizontal="center" vertical="center"/>
    </xf>
    <xf borderId="5" fillId="0" fontId="17" numFmtId="164" xfId="0" applyAlignment="1" applyBorder="1" applyFont="1" applyNumberFormat="1">
      <alignment horizontal="center" vertical="center"/>
    </xf>
    <xf borderId="5" fillId="0" fontId="17" numFmtId="0" xfId="0" applyAlignment="1" applyBorder="1" applyFont="1">
      <alignment horizontal="center" vertical="center"/>
    </xf>
    <xf borderId="5" fillId="0" fontId="17" numFmtId="10" xfId="0" applyAlignment="1" applyBorder="1" applyFont="1" applyNumberFormat="1">
      <alignment horizontal="center" vertical="center"/>
    </xf>
    <xf borderId="5" fillId="0" fontId="17" numFmtId="1" xfId="0" applyAlignment="1" applyBorder="1" applyFont="1" applyNumberFormat="1">
      <alignment horizontal="center" vertical="center"/>
    </xf>
    <xf borderId="8" fillId="0" fontId="17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3" fontId="14" numFmtId="0" xfId="0" applyAlignment="1" applyFont="1">
      <alignment horizontal="left" readingOrder="0" vertical="center"/>
    </xf>
    <xf borderId="5" fillId="2" fontId="14" numFmtId="0" xfId="0" applyAlignment="1" applyBorder="1" applyFont="1">
      <alignment horizontal="center" readingOrder="0"/>
    </xf>
    <xf borderId="1" fillId="2" fontId="17" numFmtId="0" xfId="0" applyBorder="1" applyFont="1"/>
    <xf borderId="2" fillId="2" fontId="17" numFmtId="0" xfId="0" applyBorder="1" applyFont="1"/>
    <xf borderId="13" fillId="2" fontId="14" numFmtId="0" xfId="0" applyAlignment="1" applyBorder="1" applyFont="1">
      <alignment horizontal="center" readingOrder="0" textRotation="255" vertical="center"/>
    </xf>
    <xf borderId="13" fillId="0" fontId="17" numFmtId="0" xfId="0" applyAlignment="1" applyBorder="1" applyFont="1">
      <alignment horizontal="left" readingOrder="0" textRotation="0" vertical="center"/>
    </xf>
    <xf borderId="5" fillId="0" fontId="17" numFmtId="0" xfId="0" applyAlignment="1" applyBorder="1" applyFont="1">
      <alignment readingOrder="0"/>
    </xf>
    <xf borderId="13" fillId="3" fontId="17" numFmtId="49" xfId="0" applyAlignment="1" applyBorder="1" applyFont="1" applyNumberFormat="1">
      <alignment horizontal="center" vertical="center"/>
    </xf>
    <xf borderId="13" fillId="7" fontId="17" numFmtId="0" xfId="0" applyAlignment="1" applyBorder="1" applyFont="1">
      <alignment horizontal="center" vertical="center"/>
    </xf>
    <xf borderId="13" fillId="8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readingOrder="0" vertical="center"/>
    </xf>
    <xf borderId="13" fillId="7" fontId="17" numFmtId="0" xfId="0" applyAlignment="1" applyBorder="1" applyFont="1">
      <alignment horizontal="left" readingOrder="0" vertical="center"/>
    </xf>
    <xf borderId="5" fillId="8" fontId="17" numFmtId="0" xfId="0" applyAlignment="1" applyBorder="1" applyFont="1">
      <alignment horizontal="left" readingOrder="0" vertical="center"/>
    </xf>
    <xf borderId="10" fillId="0" fontId="17" numFmtId="0" xfId="0" applyAlignment="1" applyBorder="1" applyFont="1">
      <alignment horizontal="left" readingOrder="0" vertical="center"/>
    </xf>
    <xf borderId="12" fillId="0" fontId="17" numFmtId="0" xfId="0" applyAlignment="1" applyBorder="1" applyFont="1">
      <alignment horizontal="left" readingOrder="0" vertical="center"/>
    </xf>
    <xf borderId="11" fillId="0" fontId="17" numFmtId="0" xfId="0" applyAlignment="1" applyBorder="1" applyFont="1">
      <alignment horizontal="left" readingOrder="0" vertical="center"/>
    </xf>
    <xf borderId="13" fillId="7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left" readingOrder="0" textRotation="0" vertical="center"/>
    </xf>
    <xf borderId="6" fillId="0" fontId="17" numFmtId="0" xfId="0" applyAlignment="1" applyBorder="1" applyFont="1">
      <alignment horizontal="left" readingOrder="0" textRotation="0" vertical="center"/>
    </xf>
    <xf borderId="7" fillId="0" fontId="17" numFmtId="0" xfId="0" applyAlignment="1" applyBorder="1" applyFont="1">
      <alignment horizontal="left" readingOrder="0" textRotation="0" vertical="center"/>
    </xf>
    <xf borderId="12" fillId="0" fontId="17" numFmtId="0" xfId="0" applyAlignment="1" applyBorder="1" applyFont="1">
      <alignment horizontal="left" readingOrder="0" textRotation="0" vertical="center"/>
    </xf>
    <xf borderId="5" fillId="0" fontId="17" numFmtId="0" xfId="0" applyAlignment="1" applyBorder="1" applyFont="1">
      <alignment horizontal="center" readingOrder="0" textRotation="0" vertical="center"/>
    </xf>
    <xf borderId="6" fillId="0" fontId="17" numFmtId="0" xfId="0" applyAlignment="1" applyBorder="1" applyFont="1">
      <alignment horizontal="center" readingOrder="0" textRotation="0" vertical="center"/>
    </xf>
    <xf borderId="6" fillId="0" fontId="17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  <xf borderId="13" fillId="9" fontId="17" numFmtId="0" xfId="0" applyAlignment="1" applyBorder="1" applyFont="1">
      <alignment horizontal="center" vertical="center"/>
    </xf>
    <xf borderId="10" fillId="9" fontId="17" numFmtId="0" xfId="0" applyAlignment="1" applyBorder="1" applyFont="1">
      <alignment horizontal="left" readingOrder="0" vertical="center"/>
    </xf>
    <xf borderId="11" fillId="0" fontId="17" numFmtId="0" xfId="0" applyAlignment="1" applyBorder="1" applyFont="1">
      <alignment horizontal="left" readingOrder="0" textRotation="0" vertical="center"/>
    </xf>
    <xf borderId="12" fillId="0" fontId="17" numFmtId="0" xfId="0" applyBorder="1" applyFont="1"/>
    <xf borderId="5" fillId="0" fontId="17" numFmtId="0" xfId="0" applyAlignment="1" applyBorder="1" applyFont="1">
      <alignment horizontal="center"/>
    </xf>
    <xf borderId="6" fillId="0" fontId="17" numFmtId="0" xfId="0" applyAlignment="1" applyBorder="1" applyFont="1">
      <alignment horizontal="center"/>
    </xf>
    <xf borderId="7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readingOrder="0" textRotation="0" vertical="center"/>
    </xf>
    <xf borderId="9" fillId="0" fontId="17" numFmtId="0" xfId="0" applyAlignment="1" applyBorder="1" applyFont="1">
      <alignment horizontal="left" readingOrder="0" textRotation="0" vertical="center"/>
    </xf>
    <xf borderId="5" fillId="0" fontId="17" numFmtId="0" xfId="0" applyBorder="1" applyFont="1"/>
    <xf borderId="5" fillId="0" fontId="17" numFmtId="0" xfId="0" applyAlignment="1" applyBorder="1" applyFont="1">
      <alignment vertical="center"/>
    </xf>
    <xf borderId="6" fillId="0" fontId="17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6" fillId="2" fontId="14" numFmtId="0" xfId="0" applyAlignment="1" applyBorder="1" applyFont="1">
      <alignment horizontal="left" readingOrder="0" vertical="center"/>
    </xf>
    <xf borderId="7" fillId="2" fontId="14" numFmtId="0" xfId="0" applyAlignment="1" applyBorder="1" applyFont="1">
      <alignment horizontal="left" readingOrder="0" vertical="center"/>
    </xf>
    <xf borderId="6" fillId="2" fontId="17" numFmtId="0" xfId="0" applyAlignment="1" applyBorder="1" applyFont="1">
      <alignment horizontal="center" vertical="center"/>
    </xf>
    <xf borderId="5" fillId="3" fontId="17" numFmtId="0" xfId="0" applyAlignment="1" applyBorder="1" applyFont="1">
      <alignment horizontal="left" readingOrder="0" vertical="center"/>
    </xf>
    <xf borderId="5" fillId="3" fontId="17" numFmtId="0" xfId="0" applyAlignment="1" applyBorder="1" applyFont="1">
      <alignment horizontal="center" readingOrder="0" vertical="center"/>
    </xf>
    <xf borderId="6" fillId="3" fontId="17" numFmtId="0" xfId="0" applyAlignment="1" applyBorder="1" applyFont="1">
      <alignment horizontal="center" vertical="center"/>
    </xf>
    <xf borderId="7" fillId="3" fontId="17" numFmtId="0" xfId="0" applyAlignment="1" applyBorder="1" applyFont="1">
      <alignment horizontal="center" vertical="center"/>
    </xf>
    <xf borderId="6" fillId="3" fontId="17" numFmtId="0" xfId="0" applyAlignment="1" applyBorder="1" applyFont="1">
      <alignment horizontal="center" readingOrder="0" vertical="center"/>
    </xf>
    <xf borderId="5" fillId="3" fontId="17" numFmtId="49" xfId="0" applyAlignment="1" applyBorder="1" applyFont="1" applyNumberFormat="1">
      <alignment horizontal="center" readingOrder="0" vertical="center"/>
    </xf>
    <xf borderId="7" fillId="3" fontId="17" numFmtId="0" xfId="0" applyAlignment="1" applyBorder="1" applyFont="1">
      <alignment horizontal="center" readingOrder="0" vertical="center"/>
    </xf>
    <xf borderId="3" fillId="2" fontId="17" numFmtId="0" xfId="0" applyBorder="1" applyFont="1"/>
    <xf borderId="13" fillId="10" fontId="17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/>
    </xf>
    <xf borderId="13" fillId="0" fontId="9" numFmtId="0" xfId="0" applyAlignment="1" applyBorder="1" applyFont="1">
      <alignment horizontal="center"/>
    </xf>
    <xf borderId="14" fillId="0" fontId="17" numFmtId="0" xfId="0" applyAlignment="1" applyBorder="1" applyFont="1">
      <alignment horizontal="left" readingOrder="0" textRotation="0" vertical="center"/>
    </xf>
    <xf borderId="15" fillId="0" fontId="17" numFmtId="0" xfId="0" applyAlignment="1" applyBorder="1" applyFont="1">
      <alignment horizontal="left" readingOrder="0" textRotation="0" vertical="center"/>
    </xf>
    <xf borderId="0" fillId="0" fontId="17" numFmtId="0" xfId="0" applyAlignment="1" applyFont="1">
      <alignment horizontal="center"/>
    </xf>
    <xf borderId="12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/>
    </xf>
    <xf borderId="9" fillId="0" fontId="17" numFmtId="0" xfId="0" applyAlignment="1" applyBorder="1" applyFont="1">
      <alignment horizontal="center"/>
    </xf>
    <xf borderId="14" fillId="0" fontId="17" numFmtId="0" xfId="0" applyAlignment="1" applyBorder="1" applyFont="1">
      <alignment horizontal="center"/>
    </xf>
    <xf borderId="15" fillId="0" fontId="17" numFmtId="0" xfId="0" applyAlignment="1" applyBorder="1" applyFont="1">
      <alignment horizontal="center"/>
    </xf>
    <xf borderId="10" fillId="0" fontId="17" numFmtId="0" xfId="0" applyAlignment="1" applyBorder="1" applyFont="1">
      <alignment horizontal="center"/>
    </xf>
    <xf borderId="12" fillId="0" fontId="17" numFmtId="0" xfId="0" applyAlignment="1" applyBorder="1" applyFont="1">
      <alignment horizontal="center"/>
    </xf>
    <xf borderId="11" fillId="0" fontId="17" numFmtId="0" xfId="0" applyAlignment="1" applyBorder="1" applyFont="1">
      <alignment horizontal="center"/>
    </xf>
    <xf borderId="12" fillId="0" fontId="17" numFmtId="0" xfId="0" applyAlignment="1" applyBorder="1" applyFont="1">
      <alignment horizontal="center" vertical="center"/>
    </xf>
    <xf borderId="6" fillId="3" fontId="17" numFmtId="0" xfId="0" applyAlignment="1" applyBorder="1" applyFont="1">
      <alignment horizontal="center" readingOrder="0" vertical="center"/>
    </xf>
    <xf borderId="4" fillId="2" fontId="17" numFmtId="0" xfId="0" applyBorder="1" applyFont="1"/>
    <xf borderId="0" fillId="2" fontId="14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0" fontId="8" numFmtId="49" xfId="0" applyFont="1" applyNumberFormat="1"/>
    <xf borderId="0" fillId="0" fontId="8" numFmtId="0" xfId="0" applyFont="1"/>
    <xf borderId="5" fillId="0" fontId="6" numFmtId="49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1" fillId="0" fontId="6" numFmtId="49" xfId="0" applyAlignment="1" applyBorder="1" applyFont="1" applyNumberFormat="1">
      <alignment readingOrder="0" vertical="center"/>
    </xf>
    <xf borderId="13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right" vertical="bottom"/>
    </xf>
    <xf borderId="2" fillId="0" fontId="6" numFmtId="49" xfId="0" applyAlignment="1" applyBorder="1" applyFont="1" applyNumberFormat="1">
      <alignment readingOrder="0" vertical="center"/>
    </xf>
    <xf borderId="8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3" fillId="0" fontId="6" numFmtId="49" xfId="0" applyAlignment="1" applyBorder="1" applyFont="1" applyNumberFormat="1">
      <alignment readingOrder="0" vertical="center"/>
    </xf>
    <xf borderId="10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6" numFmtId="49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SQ Volume distribution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Input!$A$27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Input!$B$27:$E$27</c:f>
              <c:numCache/>
            </c:numRef>
          </c:val>
        </c:ser>
        <c:ser>
          <c:idx val="1"/>
          <c:order val="1"/>
          <c:tx>
            <c:strRef>
              <c:f>Input!$A$28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Input!$B$28:$E$28</c:f>
              <c:numCache/>
            </c:numRef>
          </c:val>
        </c:ser>
        <c:ser>
          <c:idx val="2"/>
          <c:order val="2"/>
          <c:tx>
            <c:strRef>
              <c:f>Input!$A$29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Input!$B$29:$E$29</c:f>
              <c:numCache/>
            </c:numRef>
          </c:val>
        </c:ser>
        <c:ser>
          <c:idx val="3"/>
          <c:order val="3"/>
          <c:tx>
            <c:strRef>
              <c:f>Input!$A$30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Input!$B$30:$E$30</c:f>
              <c:numCache/>
            </c:numRef>
          </c:val>
        </c:ser>
        <c:overlap val="100"/>
        <c:axId val="559408640"/>
        <c:axId val="532438390"/>
      </c:barChart>
      <c:catAx>
        <c:axId val="55940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438390"/>
      </c:catAx>
      <c:valAx>
        <c:axId val="532438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reps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40864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17</xdr:row>
      <xdr:rowOff>47625</xdr:rowOff>
    </xdr:from>
    <xdr:ext cx="5715000" cy="3533775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63"/>
  </cols>
  <sheetData>
    <row r="1">
      <c r="A1" s="1"/>
    </row>
    <row r="2">
      <c r="A2" s="2" t="s">
        <v>0</v>
      </c>
      <c r="B2" s="3" t="s">
        <v>1</v>
      </c>
      <c r="C2" s="4"/>
      <c r="D2" s="4"/>
      <c r="E2" s="4"/>
      <c r="F2" s="4"/>
      <c r="G2" s="4"/>
      <c r="H2" s="4"/>
    </row>
    <row r="3">
      <c r="A3" s="5" t="s">
        <v>2</v>
      </c>
      <c r="B3" s="6" t="s">
        <v>3</v>
      </c>
      <c r="C3" s="7" t="s">
        <v>4</v>
      </c>
      <c r="D3" s="4"/>
      <c r="E3" s="4"/>
      <c r="F3" s="4"/>
      <c r="G3" s="4"/>
      <c r="H3" s="4"/>
    </row>
    <row r="4">
      <c r="A4" s="5"/>
      <c r="B4" s="6" t="s">
        <v>5</v>
      </c>
      <c r="C4" s="4"/>
      <c r="D4" s="4"/>
      <c r="E4" s="4"/>
      <c r="F4" s="4"/>
      <c r="G4" s="4"/>
      <c r="H4" s="4"/>
    </row>
    <row r="5">
      <c r="A5" s="5" t="s">
        <v>6</v>
      </c>
      <c r="B5" s="8">
        <v>140.0</v>
      </c>
      <c r="C5" s="4"/>
      <c r="D5" s="4"/>
      <c r="E5" s="4"/>
      <c r="F5" s="4"/>
      <c r="G5" s="4"/>
      <c r="H5" s="4"/>
    </row>
    <row r="6">
      <c r="A6" s="9" t="s">
        <v>7</v>
      </c>
      <c r="B6" s="8">
        <v>2.5</v>
      </c>
      <c r="C6" s="4"/>
      <c r="D6" s="4"/>
      <c r="E6" s="4"/>
      <c r="F6" s="4"/>
      <c r="G6" s="4"/>
      <c r="H6" s="4"/>
    </row>
    <row r="7">
      <c r="A7" s="5" t="s">
        <v>8</v>
      </c>
      <c r="B7" s="10">
        <v>220.0</v>
      </c>
      <c r="C7" s="4"/>
      <c r="D7" s="4"/>
      <c r="E7" s="4"/>
      <c r="F7" s="4"/>
      <c r="G7" s="4"/>
      <c r="H7" s="4"/>
    </row>
    <row r="8">
      <c r="A8" s="11" t="s">
        <v>9</v>
      </c>
      <c r="B8" s="6">
        <v>4.0</v>
      </c>
      <c r="C8" s="4"/>
      <c r="D8" s="4"/>
      <c r="E8" s="4"/>
      <c r="F8" s="4"/>
      <c r="G8" s="4"/>
      <c r="H8" s="4"/>
    </row>
    <row r="9">
      <c r="A9" s="12" t="s">
        <v>10</v>
      </c>
      <c r="B9" s="13">
        <f>ROUNDUP(B7*B8/4,0)</f>
        <v>220</v>
      </c>
      <c r="C9" s="4"/>
      <c r="D9" s="4"/>
      <c r="E9" s="4"/>
      <c r="F9" s="4"/>
      <c r="G9" s="4"/>
      <c r="H9" s="4"/>
    </row>
    <row r="10">
      <c r="A10" s="14"/>
      <c r="B10" s="4"/>
      <c r="C10" s="4"/>
      <c r="D10" s="4"/>
      <c r="E10" s="4"/>
      <c r="F10" s="4"/>
      <c r="G10" s="4"/>
      <c r="H10" s="4"/>
    </row>
    <row r="11">
      <c r="A11" s="15" t="s">
        <v>11</v>
      </c>
      <c r="B11" s="16" t="s">
        <v>12</v>
      </c>
      <c r="C11" s="16" t="s">
        <v>13</v>
      </c>
      <c r="D11" s="16" t="s">
        <v>14</v>
      </c>
      <c r="E11" s="16" t="s">
        <v>15</v>
      </c>
      <c r="F11" s="4"/>
      <c r="G11" s="4"/>
      <c r="H11" s="17" t="s">
        <v>16</v>
      </c>
      <c r="I11" s="18" t="s">
        <v>17</v>
      </c>
      <c r="J11" s="18" t="s">
        <v>18</v>
      </c>
    </row>
    <row r="12">
      <c r="A12" s="19" t="s">
        <v>19</v>
      </c>
      <c r="B12" s="20">
        <v>80.0</v>
      </c>
      <c r="C12" s="21">
        <f t="shared" ref="C12:C17" si="1">B12/$B$5</f>
        <v>0.5714285714</v>
      </c>
      <c r="D12" s="22">
        <v>0.0</v>
      </c>
      <c r="E12" s="23">
        <f t="shared" ref="E12:E15" si="2">ROUND($B$7*D12,0)</f>
        <v>0</v>
      </c>
      <c r="F12" s="4"/>
      <c r="G12" s="4"/>
      <c r="H12" s="24">
        <f>MROUND($B$5*55%,$B$6)</f>
        <v>77.5</v>
      </c>
      <c r="I12" s="25" t="str">
        <f t="shared" ref="I12:I17" si="3">"± " &amp; MROUND(H12*J12,$B$6) &amp; "kg"</f>
        <v>± 2,5kg</v>
      </c>
      <c r="J12" s="22">
        <v>0.025</v>
      </c>
    </row>
    <row r="13">
      <c r="A13" s="19" t="s">
        <v>20</v>
      </c>
      <c r="B13" s="20">
        <v>90.0</v>
      </c>
      <c r="C13" s="21">
        <f t="shared" si="1"/>
        <v>0.6428571429</v>
      </c>
      <c r="D13" s="26">
        <f>100%-D14-D15-D16-D17-D12</f>
        <v>0.3863636364</v>
      </c>
      <c r="E13" s="23">
        <f t="shared" si="2"/>
        <v>85</v>
      </c>
      <c r="F13" s="4"/>
      <c r="G13" s="4"/>
      <c r="H13" s="24">
        <f>MROUND($B$5*65%,$B$6)</f>
        <v>90</v>
      </c>
      <c r="I13" s="27" t="str">
        <f t="shared" si="3"/>
        <v>± 2,5kg</v>
      </c>
      <c r="J13" s="22">
        <v>0.025</v>
      </c>
    </row>
    <row r="14">
      <c r="A14" s="19" t="s">
        <v>21</v>
      </c>
      <c r="B14" s="20">
        <v>105.0</v>
      </c>
      <c r="C14" s="21">
        <f t="shared" si="1"/>
        <v>0.75</v>
      </c>
      <c r="D14" s="22">
        <v>0.42</v>
      </c>
      <c r="E14" s="23">
        <f t="shared" si="2"/>
        <v>92</v>
      </c>
      <c r="F14" s="4"/>
      <c r="G14" s="4"/>
      <c r="H14" s="24">
        <f>MROUND($B$5*75%,$B$6)</f>
        <v>105</v>
      </c>
      <c r="I14" s="27" t="str">
        <f t="shared" si="3"/>
        <v>± 2,5kg</v>
      </c>
      <c r="J14" s="22">
        <v>0.02</v>
      </c>
    </row>
    <row r="15">
      <c r="A15" s="19" t="s">
        <v>22</v>
      </c>
      <c r="B15" s="20">
        <v>120.0</v>
      </c>
      <c r="C15" s="21">
        <f t="shared" si="1"/>
        <v>0.8571428571</v>
      </c>
      <c r="D15" s="22">
        <v>0.18</v>
      </c>
      <c r="E15" s="23">
        <f t="shared" si="2"/>
        <v>40</v>
      </c>
      <c r="F15" s="4"/>
      <c r="G15" s="4"/>
      <c r="H15" s="24">
        <f>MROUND($B$5*85%,$B$6)</f>
        <v>120</v>
      </c>
      <c r="I15" s="27" t="str">
        <f t="shared" si="3"/>
        <v>± 2,5kg</v>
      </c>
      <c r="J15" s="22">
        <v>0.02</v>
      </c>
    </row>
    <row r="16">
      <c r="A16" s="19" t="s">
        <v>23</v>
      </c>
      <c r="B16" s="20">
        <v>130.0</v>
      </c>
      <c r="C16" s="21">
        <f t="shared" si="1"/>
        <v>0.9285714286</v>
      </c>
      <c r="D16" s="28">
        <f>E16/B9</f>
        <v>0.01363636364</v>
      </c>
      <c r="E16" s="20">
        <v>3.0</v>
      </c>
      <c r="F16" s="4"/>
      <c r="G16" s="4"/>
      <c r="H16" s="24">
        <f>MROUND($B$5*92.5%,$B$6)</f>
        <v>130</v>
      </c>
      <c r="I16" s="27" t="str">
        <f t="shared" si="3"/>
        <v>± 5kg</v>
      </c>
      <c r="J16" s="22">
        <v>0.03</v>
      </c>
    </row>
    <row r="17">
      <c r="A17" s="29" t="s">
        <v>24</v>
      </c>
      <c r="B17" s="30">
        <v>135.0</v>
      </c>
      <c r="C17" s="31">
        <f t="shared" si="1"/>
        <v>0.9642857143</v>
      </c>
      <c r="D17" s="32">
        <f>E17/B9</f>
        <v>0</v>
      </c>
      <c r="E17" s="30">
        <v>0.0</v>
      </c>
      <c r="F17" s="4"/>
      <c r="G17" s="4"/>
      <c r="H17" s="33">
        <f>MROUND($B$5*95%,$B$6)</f>
        <v>132.5</v>
      </c>
      <c r="I17" s="34" t="str">
        <f t="shared" si="3"/>
        <v>± 5kg</v>
      </c>
      <c r="J17" s="35">
        <v>0.03</v>
      </c>
    </row>
    <row r="18">
      <c r="A18" s="14"/>
      <c r="B18" s="4"/>
      <c r="C18" s="4"/>
      <c r="D18" s="4"/>
      <c r="E18" s="4"/>
      <c r="F18" s="4"/>
      <c r="G18" s="4"/>
      <c r="H18" s="4"/>
    </row>
    <row r="19">
      <c r="A19" s="36" t="s">
        <v>25</v>
      </c>
      <c r="B19" s="37">
        <f>B12/B5*D12+B13/B5*D13+B14/B5*D14+B15/B5*D15+B16/B5*D16+B17/B5*D17</f>
        <v>0.7303246753</v>
      </c>
      <c r="C19" s="4"/>
      <c r="D19" s="4"/>
      <c r="E19" s="4"/>
      <c r="F19" s="4"/>
      <c r="G19" s="4"/>
      <c r="H19" s="4"/>
    </row>
    <row r="20">
      <c r="A20" s="14"/>
      <c r="B20" s="4"/>
      <c r="C20" s="4"/>
      <c r="D20" s="4"/>
      <c r="E20" s="4"/>
      <c r="F20" s="4"/>
      <c r="G20" s="4"/>
      <c r="H20" s="4"/>
    </row>
    <row r="21">
      <c r="A21" s="38" t="s">
        <v>26</v>
      </c>
      <c r="B21" s="39" t="s">
        <v>27</v>
      </c>
      <c r="C21" s="40">
        <f>VLOOKUP($B$21,IF(C3="advanced", Definitions!$J$3:$N$18, IF(C3="elite", Definitions!$O$3:$S$18, Definitions!$A$3:$E$18)),2,FALSE)</f>
        <v>17</v>
      </c>
      <c r="D21" s="40">
        <f>VLOOKUP($B$21,IF(C3="advanced", Definitions!$J$3:$N$18, IF(C3="elite", Definitions!$O$3:$S$18, Definitions!$A$3:$E$18)),3,FALSE)</f>
        <v>22</v>
      </c>
      <c r="E21" s="40">
        <f>VLOOKUP(B21,IF(C3="advanced", Definitions!$J$3:$N$18, IF(C3="elite", Definitions!$O$3:$S$18, Definitions!$A$3:$E$18)),4,FALSE)</f>
        <v>33</v>
      </c>
      <c r="F21" s="40">
        <f>VLOOKUP(B21,IF(C3="advanced", Definitions!$J$3:$N$18, IF(C3="elite", Definitions!$O$3:$S$18, Definitions!$A$3:$E$18)),5,FALSE)</f>
        <v>28</v>
      </c>
      <c r="G21" s="4"/>
      <c r="H21" s="4"/>
    </row>
    <row r="22">
      <c r="A22" s="41" t="s">
        <v>28</v>
      </c>
      <c r="B22" s="42" t="s">
        <v>29</v>
      </c>
      <c r="C22" s="43">
        <f>VLOOKUP($B$22,IF(C3="advanced", Definitions!$J$3:$N$18, IF(C3="elite", Definitions!$O$3:$S$18, Definitions!$A$3:$E$18)),2,FALSE)</f>
        <v>17</v>
      </c>
      <c r="D22" s="43">
        <f>VLOOKUP($B$22,IF(C3="advanced", Definitions!$J$3:$N$18, IF(C3="elite", Definitions!$O$3:$S$18, Definitions!$A$3:$E$18)),3,FALSE)</f>
        <v>33</v>
      </c>
      <c r="E22" s="43">
        <f>VLOOKUP($B$22,IF(C3="advanced", Definitions!$J$3:$N$18, IF(C3="elite", Definitions!$O$3:$S$18, Definitions!$A$3:$E$18)),4,FALSE)</f>
        <v>28</v>
      </c>
      <c r="F22" s="43">
        <f>VLOOKUP($B$22,IF(C3="advanced", Definitions!$J$3:$N$18, IF(C3="elite", Definitions!$O$3:$S$18, Definitions!$A$3:$E$18)),5,FALSE)</f>
        <v>22</v>
      </c>
      <c r="G22" s="4"/>
      <c r="H22" s="4"/>
    </row>
    <row r="23">
      <c r="A23" s="44"/>
      <c r="B23" s="4"/>
      <c r="C23" s="4"/>
      <c r="D23" s="4"/>
      <c r="E23" s="4"/>
      <c r="F23" s="4"/>
      <c r="G23" s="4"/>
      <c r="H23" s="4"/>
    </row>
    <row r="24">
      <c r="A24" s="36" t="s">
        <v>30</v>
      </c>
      <c r="B24" s="16">
        <v>1.0</v>
      </c>
      <c r="C24" s="16">
        <v>2.0</v>
      </c>
      <c r="D24" s="16">
        <v>3.0</v>
      </c>
      <c r="E24" s="16">
        <v>4.0</v>
      </c>
      <c r="F24" s="16">
        <v>5.0</v>
      </c>
      <c r="G24" s="16">
        <v>6.0</v>
      </c>
      <c r="H24" s="45"/>
    </row>
    <row r="25">
      <c r="A25" s="46" t="s">
        <v>31</v>
      </c>
      <c r="B25" s="23">
        <f t="shared" ref="B25:E25" si="4">ROUND($B$9*C21/100,0)</f>
        <v>37</v>
      </c>
      <c r="C25" s="23">
        <f t="shared" si="4"/>
        <v>48</v>
      </c>
      <c r="D25" s="23">
        <f t="shared" si="4"/>
        <v>73</v>
      </c>
      <c r="E25" s="23">
        <f t="shared" si="4"/>
        <v>62</v>
      </c>
      <c r="F25" s="47"/>
      <c r="G25" s="23"/>
      <c r="H25" s="48">
        <f>sum(B25:G25)</f>
        <v>220</v>
      </c>
    </row>
    <row r="26">
      <c r="A26" s="49">
        <v>0.55</v>
      </c>
      <c r="B26" s="23">
        <f t="shared" ref="B26:E26" si="5">ROUND($D12*$B$9*C$21/100,0)</f>
        <v>0</v>
      </c>
      <c r="C26" s="23">
        <f t="shared" si="5"/>
        <v>0</v>
      </c>
      <c r="D26" s="23">
        <f t="shared" si="5"/>
        <v>0</v>
      </c>
      <c r="E26" s="23">
        <f t="shared" si="5"/>
        <v>0</v>
      </c>
      <c r="F26" s="47"/>
      <c r="G26" s="23"/>
      <c r="H26" s="48"/>
    </row>
    <row r="27">
      <c r="A27" s="50">
        <v>0.65</v>
      </c>
      <c r="B27" s="23">
        <f t="shared" ref="B27:E27" si="6">ROUND($D13*$B$9*C$21/100,0)</f>
        <v>14</v>
      </c>
      <c r="C27" s="23">
        <f t="shared" si="6"/>
        <v>19</v>
      </c>
      <c r="D27" s="23">
        <f t="shared" si="6"/>
        <v>28</v>
      </c>
      <c r="E27" s="23">
        <f t="shared" si="6"/>
        <v>24</v>
      </c>
      <c r="F27" s="47"/>
      <c r="G27" s="23"/>
      <c r="H27" s="48"/>
    </row>
    <row r="28">
      <c r="A28" s="50">
        <v>0.75</v>
      </c>
      <c r="B28" s="23">
        <f t="shared" ref="B28:E28" si="7">B25-B26-B27-B29-B30-B31</f>
        <v>16</v>
      </c>
      <c r="C28" s="23">
        <f t="shared" si="7"/>
        <v>15</v>
      </c>
      <c r="D28" s="23">
        <f t="shared" si="7"/>
        <v>33</v>
      </c>
      <c r="E28" s="23">
        <f t="shared" si="7"/>
        <v>28</v>
      </c>
      <c r="F28" s="47"/>
      <c r="G28" s="23"/>
      <c r="H28" s="48"/>
    </row>
    <row r="29">
      <c r="A29" s="50">
        <v>0.85</v>
      </c>
      <c r="B29" s="23">
        <f t="shared" ref="B29:E29" si="8">ROUND($D15*$B$9*C$22/100,0)</f>
        <v>7</v>
      </c>
      <c r="C29" s="23">
        <f t="shared" si="8"/>
        <v>13</v>
      </c>
      <c r="D29" s="23">
        <f t="shared" si="8"/>
        <v>11</v>
      </c>
      <c r="E29" s="23">
        <f t="shared" si="8"/>
        <v>9</v>
      </c>
      <c r="F29" s="47"/>
      <c r="G29" s="23"/>
      <c r="H29" s="48"/>
    </row>
    <row r="30">
      <c r="A30" s="51">
        <v>0.925</v>
      </c>
      <c r="B30" s="52">
        <v>0.0</v>
      </c>
      <c r="C30" s="52">
        <v>1.0</v>
      </c>
      <c r="D30" s="52">
        <v>1.0</v>
      </c>
      <c r="E30" s="52">
        <v>1.0</v>
      </c>
      <c r="F30" s="47"/>
      <c r="G30" s="23"/>
      <c r="H30" s="48"/>
    </row>
    <row r="31">
      <c r="A31" s="53">
        <v>0.95</v>
      </c>
      <c r="B31" s="54">
        <v>0.0</v>
      </c>
      <c r="C31" s="54">
        <v>0.0</v>
      </c>
      <c r="D31" s="54">
        <v>0.0</v>
      </c>
      <c r="E31" s="54">
        <v>0.0</v>
      </c>
      <c r="F31" s="55"/>
      <c r="G31" s="13"/>
      <c r="H31" s="48"/>
    </row>
    <row r="32">
      <c r="A32" s="56" t="s">
        <v>32</v>
      </c>
      <c r="B32" s="57">
        <f t="shared" ref="B32:E32" si="9">ROUND(B26/B25*$B12/$B$5+B27/B25*$B13/$B$5+B28/B25*$B14/$B$5+B29/B25*$B15/$B$5+B30/B25*$B16/$B$5+B31/B25*$B17/$B$5,3)*100</f>
        <v>73</v>
      </c>
      <c r="C32" s="57">
        <f t="shared" si="9"/>
        <v>74</v>
      </c>
      <c r="D32" s="57">
        <f t="shared" si="9"/>
        <v>72.7</v>
      </c>
      <c r="E32" s="57">
        <f t="shared" si="9"/>
        <v>72.7</v>
      </c>
      <c r="F32" s="57"/>
      <c r="G32" s="57"/>
      <c r="H32" s="4"/>
    </row>
    <row r="33">
      <c r="A33" s="58"/>
      <c r="B33" s="59"/>
      <c r="C33" s="59"/>
      <c r="D33" s="59"/>
      <c r="E33" s="59"/>
      <c r="F33" s="59"/>
      <c r="G33" s="59"/>
      <c r="H33" s="4"/>
    </row>
    <row r="34">
      <c r="A34" s="60">
        <v>3.0</v>
      </c>
      <c r="B34" s="61" t="s">
        <v>33</v>
      </c>
      <c r="C34" s="62"/>
      <c r="D34" s="62"/>
      <c r="E34" s="63"/>
      <c r="F34" s="64"/>
      <c r="G34" s="48"/>
      <c r="H34" s="65" t="str">
        <f t="array" ref="H34:H39">INDIRECT("Definitions!" &amp; "Session" &amp; A34 &amp; "Distribution")</f>
        <v>d25_33_42</v>
      </c>
      <c r="I34" s="66" t="str">
        <f t="array" ref="I34:I39">INDIRECT("Definitions!" &amp; "Week" &amp; A34 &amp; "Distribution")</f>
        <v>LMH</v>
      </c>
      <c r="J34" s="67"/>
      <c r="K34" s="67"/>
    </row>
    <row r="35">
      <c r="A35" s="60" t="s">
        <v>34</v>
      </c>
      <c r="B35" s="68" t="s">
        <v>35</v>
      </c>
      <c r="C35" s="62"/>
      <c r="D35" s="62"/>
      <c r="E35" s="63"/>
      <c r="F35" s="48"/>
      <c r="G35" s="48"/>
      <c r="H35" s="65" t="s">
        <v>36</v>
      </c>
      <c r="I35" s="66" t="s">
        <v>37</v>
      </c>
      <c r="J35" s="67"/>
      <c r="K35" s="67"/>
    </row>
    <row r="36">
      <c r="A36" s="69" t="s">
        <v>37</v>
      </c>
      <c r="B36" s="70" t="s">
        <v>38</v>
      </c>
      <c r="C36" s="70" t="s">
        <v>38</v>
      </c>
      <c r="D36" s="70" t="s">
        <v>38</v>
      </c>
      <c r="E36" s="70" t="s">
        <v>38</v>
      </c>
      <c r="F36" s="48"/>
      <c r="G36" s="48"/>
      <c r="H36" s="65" t="s">
        <v>39</v>
      </c>
      <c r="I36" s="66" t="s">
        <v>40</v>
      </c>
      <c r="J36" s="67"/>
      <c r="K36" s="67"/>
    </row>
    <row r="37">
      <c r="A37" s="71">
        <f t="array" ref="A37">VLOOKUP($A$35, Definitions!$A$21:$F$40, MATCH(MID($A$36, 1, 1), {"L"; "M"; "H"}, 0) + 1, FALSE)</f>
        <v>25</v>
      </c>
      <c r="B37" s="23">
        <f t="shared" ref="B37:E37" si="10">ROUND(B$25*$A37/100,0)</f>
        <v>9</v>
      </c>
      <c r="C37" s="23">
        <f t="shared" si="10"/>
        <v>12</v>
      </c>
      <c r="D37" s="23">
        <f t="shared" si="10"/>
        <v>18</v>
      </c>
      <c r="E37" s="23">
        <f t="shared" si="10"/>
        <v>16</v>
      </c>
      <c r="F37" s="48"/>
      <c r="G37" s="48"/>
      <c r="H37" s="65" t="s">
        <v>41</v>
      </c>
      <c r="I37" s="66" t="s">
        <v>42</v>
      </c>
      <c r="J37" s="67"/>
      <c r="K37" s="67"/>
    </row>
    <row r="38">
      <c r="A38" s="71">
        <f t="array" ref="A38">IF(LEN($A$36)&gt;=2, VLOOKUP($A$35, Definitions!$A$21:$F$40, MATCH(MID($A$36, 2, 1), {"L"; "M"; "H"}, 0) + 1, FALSE), "")</f>
        <v>42</v>
      </c>
      <c r="B38" s="23">
        <f t="shared" ref="B38:E38" si="11">ROUND(B$25*$A38/100,0)</f>
        <v>16</v>
      </c>
      <c r="C38" s="23">
        <f t="shared" si="11"/>
        <v>20</v>
      </c>
      <c r="D38" s="23">
        <f t="shared" si="11"/>
        <v>31</v>
      </c>
      <c r="E38" s="23">
        <f t="shared" si="11"/>
        <v>26</v>
      </c>
      <c r="F38" s="48"/>
      <c r="G38" s="48"/>
      <c r="H38" s="65" t="s">
        <v>43</v>
      </c>
      <c r="I38" s="66" t="s">
        <v>44</v>
      </c>
      <c r="J38" s="67"/>
      <c r="K38" s="67"/>
    </row>
    <row r="39">
      <c r="A39" s="72">
        <f t="array" ref="A39">IF(LEN($A$36)&gt;=3, IF(ISERROR(MATCH(MID($A$36, 3, 1), {"L"; "M"; "H"}, 0)), 0, VLOOKUP($A$35, Definitions!$A$21:$F$40, MATCH(MID($A$36, 3, 1), {"L"; "M"; "H"}, 0) + 1, FALSE)), 0)
</f>
        <v>33</v>
      </c>
      <c r="B39" s="13">
        <f t="shared" ref="B39:E39" si="12">ROUND(B$25*$A39/100,0)</f>
        <v>12</v>
      </c>
      <c r="C39" s="13">
        <f t="shared" si="12"/>
        <v>16</v>
      </c>
      <c r="D39" s="13">
        <f t="shared" si="12"/>
        <v>24</v>
      </c>
      <c r="E39" s="13">
        <f t="shared" si="12"/>
        <v>20</v>
      </c>
      <c r="F39" s="48"/>
      <c r="G39" s="48"/>
      <c r="H39" s="65" t="s">
        <v>45</v>
      </c>
      <c r="I39" s="66" t="s">
        <v>46</v>
      </c>
      <c r="J39" s="67"/>
      <c r="K39" s="67"/>
    </row>
    <row r="40">
      <c r="A40" s="1"/>
      <c r="H40" s="59"/>
      <c r="I40" s="73"/>
    </row>
    <row r="41">
      <c r="A41" s="60">
        <v>2.0</v>
      </c>
      <c r="B41" s="61" t="s">
        <v>33</v>
      </c>
      <c r="C41" s="62"/>
      <c r="D41" s="62"/>
      <c r="E41" s="63"/>
      <c r="H41" s="65" t="str">
        <f t="array" ref="H41:H45">INDIRECT("Definitions!" &amp; "Session" &amp; A41 &amp; "Distribution")</f>
        <v>d40_60</v>
      </c>
      <c r="I41" s="65" t="str">
        <f t="array" ref="I41:J42">INDIRECT("Definitions!" &amp; "Week" &amp; A41 &amp; "Distribution")</f>
        <v>MH</v>
      </c>
      <c r="J41" s="74"/>
    </row>
    <row r="42">
      <c r="A42" s="60" t="s">
        <v>47</v>
      </c>
      <c r="B42" s="68" t="s">
        <v>35</v>
      </c>
      <c r="C42" s="62"/>
      <c r="D42" s="62"/>
      <c r="E42" s="63"/>
      <c r="H42" s="65" t="s">
        <v>48</v>
      </c>
      <c r="I42" s="65" t="s">
        <v>49</v>
      </c>
      <c r="J42" s="74"/>
    </row>
    <row r="43">
      <c r="A43" s="75" t="s">
        <v>50</v>
      </c>
      <c r="B43" s="70" t="s">
        <v>38</v>
      </c>
      <c r="C43" s="70" t="s">
        <v>38</v>
      </c>
      <c r="D43" s="70" t="s">
        <v>38</v>
      </c>
      <c r="E43" s="70" t="s">
        <v>38</v>
      </c>
      <c r="H43" s="65" t="s">
        <v>51</v>
      </c>
      <c r="I43" s="65"/>
    </row>
    <row r="44">
      <c r="A44" s="71">
        <f t="array" ref="A44">VLOOKUP($A$42, Definitions!$A$21:$F$40, MATCH(MID($A$43, 1, 1), {"L"; "M"; "H"}, 0) + 1, FALSE)</f>
        <v>40</v>
      </c>
      <c r="B44" s="23">
        <f t="shared" ref="B44:E44" si="13">ROUND(B$25*$A44/100,0)</f>
        <v>15</v>
      </c>
      <c r="C44" s="23">
        <f t="shared" si="13"/>
        <v>19</v>
      </c>
      <c r="D44" s="23">
        <f t="shared" si="13"/>
        <v>29</v>
      </c>
      <c r="E44" s="23">
        <f t="shared" si="13"/>
        <v>25</v>
      </c>
      <c r="H44" s="65" t="s">
        <v>52</v>
      </c>
      <c r="I44" s="65"/>
    </row>
    <row r="45">
      <c r="A45" s="71">
        <f t="array" ref="A45">IF(LEN($A$43)&gt;=2, VLOOKUP($A$42, Definitions!$A$21:$F$40, MATCH(MID($A$43, 2, 1), {"L"; "M"; "H"}, 0) + 1, FALSE), "")</f>
        <v>60</v>
      </c>
      <c r="B45" s="23">
        <f t="shared" ref="B45:E45" si="14">ROUND(B$25*$A45/100,0)</f>
        <v>22</v>
      </c>
      <c r="C45" s="23">
        <f t="shared" si="14"/>
        <v>29</v>
      </c>
      <c r="D45" s="23">
        <f t="shared" si="14"/>
        <v>44</v>
      </c>
      <c r="E45" s="23">
        <f t="shared" si="14"/>
        <v>37</v>
      </c>
      <c r="H45" s="65" t="s">
        <v>53</v>
      </c>
      <c r="I45" s="65"/>
    </row>
    <row r="46">
      <c r="A46" s="72">
        <f t="array" ref="A46">IF(LEN($A$43)&gt;=3, IF(ISERROR(MATCH(MID($A$43, 3, 1), {"L"; "M"; "H"}, 0)), 0, VLOOKUP($A$42, Definitions!$A$21:$F$40, MATCH(MID($A$43, 3, 1), {"L"; "M"; "H"}, 0) + 1, FALSE)), 0)
</f>
        <v>0</v>
      </c>
      <c r="B46" s="13">
        <f t="shared" ref="B46:E46" si="15">ROUND(B$25*$A46/100,0)</f>
        <v>0</v>
      </c>
      <c r="C46" s="13">
        <f t="shared" si="15"/>
        <v>0</v>
      </c>
      <c r="D46" s="13">
        <f t="shared" si="15"/>
        <v>0</v>
      </c>
      <c r="E46" s="13">
        <f t="shared" si="15"/>
        <v>0</v>
      </c>
      <c r="H46" s="76"/>
    </row>
    <row r="47">
      <c r="A47" s="77"/>
      <c r="B47" s="78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2" t="s">
        <v>0</v>
      </c>
      <c r="B48" s="3" t="s">
        <v>1</v>
      </c>
      <c r="C48" s="4"/>
      <c r="D48" s="4"/>
      <c r="E48" s="4"/>
      <c r="F48" s="4"/>
      <c r="G48" s="4"/>
      <c r="H48" s="4"/>
    </row>
    <row r="49">
      <c r="A49" s="5" t="s">
        <v>2</v>
      </c>
      <c r="B49" s="6" t="s">
        <v>54</v>
      </c>
      <c r="C49" s="4"/>
      <c r="D49" s="4"/>
      <c r="E49" s="4"/>
      <c r="F49" s="4"/>
      <c r="G49" s="4"/>
      <c r="H49" s="4"/>
    </row>
    <row r="50">
      <c r="A50" s="5"/>
      <c r="B50" s="6" t="s">
        <v>5</v>
      </c>
      <c r="C50" s="4"/>
      <c r="D50" s="4"/>
      <c r="E50" s="4"/>
      <c r="F50" s="4"/>
      <c r="G50" s="4"/>
      <c r="H50" s="4"/>
    </row>
    <row r="51">
      <c r="A51" s="5" t="s">
        <v>6</v>
      </c>
      <c r="B51" s="8">
        <v>77.5</v>
      </c>
      <c r="C51" s="4"/>
      <c r="D51" s="4"/>
      <c r="E51" s="4"/>
      <c r="F51" s="4"/>
      <c r="G51" s="4"/>
      <c r="H51" s="4"/>
    </row>
    <row r="52">
      <c r="A52" s="9" t="s">
        <v>7</v>
      </c>
      <c r="B52" s="8">
        <v>2.5</v>
      </c>
      <c r="C52" s="4"/>
      <c r="D52" s="4"/>
      <c r="E52" s="4"/>
      <c r="F52" s="4"/>
      <c r="G52" s="4"/>
      <c r="H52" s="4"/>
    </row>
    <row r="53">
      <c r="A53" s="5" t="s">
        <v>8</v>
      </c>
      <c r="B53" s="10">
        <v>250.0</v>
      </c>
      <c r="C53" s="4"/>
      <c r="D53" s="4"/>
      <c r="E53" s="4"/>
      <c r="F53" s="4"/>
      <c r="G53" s="4"/>
      <c r="H53" s="4"/>
    </row>
    <row r="54">
      <c r="A54" s="11" t="s">
        <v>9</v>
      </c>
      <c r="B54" s="6">
        <v>4.0</v>
      </c>
      <c r="C54" s="4"/>
      <c r="D54" s="4"/>
      <c r="E54" s="4"/>
      <c r="F54" s="4"/>
      <c r="G54" s="4"/>
      <c r="H54" s="4"/>
    </row>
    <row r="55">
      <c r="A55" s="12" t="s">
        <v>10</v>
      </c>
      <c r="B55" s="13">
        <f>ROUNDUP(B53*B54/4,0)</f>
        <v>250</v>
      </c>
      <c r="C55" s="4"/>
      <c r="D55" s="4"/>
      <c r="E55" s="4"/>
      <c r="F55" s="4"/>
      <c r="G55" s="4"/>
      <c r="H55" s="4"/>
    </row>
    <row r="56">
      <c r="A56" s="14"/>
      <c r="B56" s="4"/>
      <c r="C56" s="4"/>
      <c r="D56" s="4"/>
      <c r="E56" s="4"/>
      <c r="F56" s="4"/>
      <c r="G56" s="4"/>
      <c r="H56" s="4"/>
    </row>
    <row r="57">
      <c r="A57" s="15" t="s">
        <v>11</v>
      </c>
      <c r="B57" s="16" t="s">
        <v>12</v>
      </c>
      <c r="C57" s="16" t="s">
        <v>13</v>
      </c>
      <c r="D57" s="16" t="s">
        <v>14</v>
      </c>
      <c r="E57" s="16" t="s">
        <v>15</v>
      </c>
      <c r="F57" s="4"/>
      <c r="G57" s="4"/>
      <c r="H57" s="17" t="s">
        <v>16</v>
      </c>
      <c r="I57" s="80" t="s">
        <v>17</v>
      </c>
      <c r="J57" s="18" t="s">
        <v>18</v>
      </c>
    </row>
    <row r="58">
      <c r="A58" s="19" t="s">
        <v>19</v>
      </c>
      <c r="B58" s="20">
        <v>45.0</v>
      </c>
      <c r="C58" s="21">
        <f t="shared" ref="C58:C63" si="16">B58/$B$51</f>
        <v>0.5806451613</v>
      </c>
      <c r="D58" s="22">
        <v>0.0</v>
      </c>
      <c r="E58" s="23">
        <f t="shared" ref="E58:E61" si="17">ROUND($B$53*D58,0)</f>
        <v>0</v>
      </c>
      <c r="F58" s="4"/>
      <c r="G58" s="4"/>
      <c r="H58" s="81">
        <f>MROUND($B$51*55%,$B$6)</f>
        <v>42.5</v>
      </c>
      <c r="I58" s="25" t="str">
        <f t="shared" ref="I58:I63" si="18">"± " &amp; MROUND(H58*J58,$B$52) &amp; "kg"</f>
        <v>± 2,5kg</v>
      </c>
      <c r="J58" s="82">
        <v>0.03</v>
      </c>
    </row>
    <row r="59">
      <c r="A59" s="19" t="s">
        <v>20</v>
      </c>
      <c r="B59" s="20">
        <v>50.0</v>
      </c>
      <c r="C59" s="21">
        <f t="shared" si="16"/>
        <v>0.6451612903</v>
      </c>
      <c r="D59" s="26">
        <f>100%-D60-D61-D62-D63-D58</f>
        <v>0.26</v>
      </c>
      <c r="E59" s="23">
        <f t="shared" si="17"/>
        <v>65</v>
      </c>
      <c r="F59" s="4"/>
      <c r="G59" s="4"/>
      <c r="H59" s="81">
        <f>MROUND($B$51*65%,$B$6)</f>
        <v>50</v>
      </c>
      <c r="I59" s="27" t="str">
        <f t="shared" si="18"/>
        <v>± 2,5kg</v>
      </c>
      <c r="J59" s="82">
        <v>0.025</v>
      </c>
    </row>
    <row r="60">
      <c r="A60" s="19" t="s">
        <v>21</v>
      </c>
      <c r="B60" s="20">
        <v>60.0</v>
      </c>
      <c r="C60" s="21">
        <f t="shared" si="16"/>
        <v>0.7741935484</v>
      </c>
      <c r="D60" s="22">
        <v>0.45</v>
      </c>
      <c r="E60" s="23">
        <f t="shared" si="17"/>
        <v>113</v>
      </c>
      <c r="F60" s="4"/>
      <c r="G60" s="4"/>
      <c r="H60" s="81">
        <f>MROUND($B$51*75%,$B$6)</f>
        <v>57.5</v>
      </c>
      <c r="I60" s="27" t="str">
        <f t="shared" si="18"/>
        <v>± 2,5kg</v>
      </c>
      <c r="J60" s="82">
        <v>0.025</v>
      </c>
    </row>
    <row r="61">
      <c r="A61" s="19" t="s">
        <v>22</v>
      </c>
      <c r="B61" s="20">
        <v>67.5</v>
      </c>
      <c r="C61" s="21">
        <f t="shared" si="16"/>
        <v>0.8709677419</v>
      </c>
      <c r="D61" s="22">
        <v>0.27</v>
      </c>
      <c r="E61" s="23">
        <f t="shared" si="17"/>
        <v>68</v>
      </c>
      <c r="F61" s="4"/>
      <c r="G61" s="4"/>
      <c r="H61" s="81">
        <f>MROUND($B$51*85%,$B$6)</f>
        <v>65</v>
      </c>
      <c r="I61" s="27" t="str">
        <f t="shared" si="18"/>
        <v>± 2,5kg</v>
      </c>
      <c r="J61" s="82">
        <v>0.02</v>
      </c>
    </row>
    <row r="62">
      <c r="A62" s="19" t="s">
        <v>23</v>
      </c>
      <c r="B62" s="20">
        <v>72.5</v>
      </c>
      <c r="C62" s="21">
        <f t="shared" si="16"/>
        <v>0.935483871</v>
      </c>
      <c r="D62" s="28">
        <f>E62/B55</f>
        <v>0.016</v>
      </c>
      <c r="E62" s="20">
        <v>4.0</v>
      </c>
      <c r="F62" s="4"/>
      <c r="G62" s="4"/>
      <c r="H62" s="81">
        <f>MROUND($B$51*92.5%,$B$6)</f>
        <v>72.5</v>
      </c>
      <c r="I62" s="27" t="str">
        <f t="shared" si="18"/>
        <v>± 2,5kg</v>
      </c>
      <c r="J62" s="82">
        <v>0.02</v>
      </c>
    </row>
    <row r="63">
      <c r="A63" s="29" t="s">
        <v>24</v>
      </c>
      <c r="B63" s="30">
        <v>75.0</v>
      </c>
      <c r="C63" s="31">
        <f t="shared" si="16"/>
        <v>0.9677419355</v>
      </c>
      <c r="D63" s="32">
        <f>E63/B55</f>
        <v>0.004</v>
      </c>
      <c r="E63" s="30">
        <v>1.0</v>
      </c>
      <c r="F63" s="4"/>
      <c r="G63" s="4"/>
      <c r="H63" s="83">
        <f>MROUND($B$51*95%,$B$6)</f>
        <v>72.5</v>
      </c>
      <c r="I63" s="34" t="str">
        <f t="shared" si="18"/>
        <v>± 2,5kg</v>
      </c>
      <c r="J63" s="84">
        <v>0.02</v>
      </c>
    </row>
    <row r="64">
      <c r="A64" s="14"/>
      <c r="B64" s="4"/>
      <c r="C64" s="4"/>
      <c r="D64" s="4"/>
      <c r="E64" s="4"/>
      <c r="F64" s="4"/>
      <c r="G64" s="4"/>
      <c r="H64" s="4"/>
    </row>
    <row r="65">
      <c r="A65" s="36" t="s">
        <v>25</v>
      </c>
      <c r="B65" s="37">
        <f>B58/B51*D58+B59/B51*D59+B60/B51*D60+B61/B51*D61+B62/B51*D62+B63/B51*D63</f>
        <v>0.7701290323</v>
      </c>
      <c r="C65" s="4"/>
      <c r="D65" s="4"/>
      <c r="E65" s="4"/>
      <c r="F65" s="4"/>
      <c r="G65" s="4"/>
      <c r="H65" s="4"/>
    </row>
    <row r="66">
      <c r="A66" s="14"/>
      <c r="B66" s="4"/>
      <c r="C66" s="4"/>
      <c r="D66" s="4"/>
      <c r="E66" s="4"/>
      <c r="F66" s="4"/>
      <c r="G66" s="4"/>
      <c r="H66" s="4"/>
    </row>
    <row r="67">
      <c r="A67" s="38" t="s">
        <v>26</v>
      </c>
      <c r="B67" s="39" t="s">
        <v>29</v>
      </c>
      <c r="C67" s="40">
        <f>VLOOKUP($B$67,IF(C3="advanced", Definitions!$J$3:$N$18, IF(C3="elite", Definitions!$O$3:$S$18, Definitions!$A$3:$E$18)),2,FALSE)</f>
        <v>17</v>
      </c>
      <c r="D67" s="40">
        <f>VLOOKUP($B$67,IF(C3="advanced", Definitions!$J$3:$N$18, IF(C3="elite", Definitions!$O$3:$S$18, Definitions!$A$3:$E$18)),3,FALSE)</f>
        <v>33</v>
      </c>
      <c r="E67" s="40">
        <f>VLOOKUP($B$67,IF(C3="advanced", Definitions!$J$3:$N$18, IF(C3="elite", Definitions!$O$3:$S$18, Definitions!$A$3:$E$18)),4,FALSE)</f>
        <v>28</v>
      </c>
      <c r="F67" s="40">
        <f>VLOOKUP($B$67,IF(C3="advanced", Definitions!$J$3:$N$18, IF(C3="elite", Definitions!$O$3:$S$18, Definitions!$A$3:$E$18)),5,FALSE)</f>
        <v>22</v>
      </c>
      <c r="G67" s="4"/>
      <c r="H67" s="4"/>
    </row>
    <row r="68">
      <c r="A68" s="41" t="s">
        <v>28</v>
      </c>
      <c r="B68" s="42" t="s">
        <v>55</v>
      </c>
      <c r="C68" s="43">
        <f>VLOOKUP($B$68,IF(C3="advanced", Definitions!$J$3:$N$18, IF(C3="elite", Definitions!$O$3:$S$18, Definitions!$A$3:$E$18)),2,FALSE)</f>
        <v>33</v>
      </c>
      <c r="D68" s="43">
        <f>VLOOKUP($B$68,IF(C3="advanced", Definitions!$J$3:$N$18, IF(C3="elite", Definitions!$O$3:$S$18, Definitions!$A$3:$E$18)),3,FALSE)</f>
        <v>17</v>
      </c>
      <c r="E68" s="43">
        <f>VLOOKUP($B$68,IF(C3="advanced", Definitions!$J$3:$N$18, IF(C3="elite", Definitions!$O$3:$S$18, Definitions!$A$3:$E$18)),4,FALSE)</f>
        <v>28</v>
      </c>
      <c r="F68" s="43">
        <f>VLOOKUP($B$68,IF(C3="advanced", Definitions!$J$3:$N$18, IF(C3="elite", Definitions!$O$3:$S$18, Definitions!$A$3:$E$18)),5,FALSE)</f>
        <v>22</v>
      </c>
      <c r="G68" s="4"/>
      <c r="H68" s="4"/>
    </row>
    <row r="69">
      <c r="A69" s="44"/>
      <c r="B69" s="4"/>
      <c r="C69" s="4"/>
      <c r="D69" s="4"/>
      <c r="E69" s="4"/>
      <c r="F69" s="4"/>
      <c r="G69" s="4"/>
      <c r="H69" s="4"/>
    </row>
    <row r="70">
      <c r="A70" s="36" t="s">
        <v>30</v>
      </c>
      <c r="B70" s="16">
        <v>1.0</v>
      </c>
      <c r="C70" s="16">
        <v>2.0</v>
      </c>
      <c r="D70" s="16">
        <v>3.0</v>
      </c>
      <c r="E70" s="16">
        <v>4.0</v>
      </c>
      <c r="F70" s="16">
        <v>5.0</v>
      </c>
      <c r="G70" s="16">
        <v>6.0</v>
      </c>
      <c r="H70" s="45"/>
    </row>
    <row r="71">
      <c r="A71" s="46" t="s">
        <v>31</v>
      </c>
      <c r="B71" s="23">
        <f t="shared" ref="B71:E71" si="19">ROUND($B$55*C67/100,0)</f>
        <v>43</v>
      </c>
      <c r="C71" s="23">
        <f t="shared" si="19"/>
        <v>83</v>
      </c>
      <c r="D71" s="23">
        <f t="shared" si="19"/>
        <v>70</v>
      </c>
      <c r="E71" s="23">
        <f t="shared" si="19"/>
        <v>55</v>
      </c>
      <c r="F71" s="47"/>
      <c r="G71" s="23"/>
      <c r="H71" s="48">
        <f>sum(B71:G71)</f>
        <v>251</v>
      </c>
    </row>
    <row r="72">
      <c r="A72" s="49">
        <v>0.55</v>
      </c>
      <c r="B72" s="23">
        <f t="shared" ref="B72:E72" si="20">ROUND($D58*$B$55*C$67/100,0)</f>
        <v>0</v>
      </c>
      <c r="C72" s="23">
        <f t="shared" si="20"/>
        <v>0</v>
      </c>
      <c r="D72" s="23">
        <f t="shared" si="20"/>
        <v>0</v>
      </c>
      <c r="E72" s="23">
        <f t="shared" si="20"/>
        <v>0</v>
      </c>
      <c r="F72" s="47"/>
      <c r="G72" s="23"/>
      <c r="H72" s="48"/>
    </row>
    <row r="73">
      <c r="A73" s="50">
        <v>0.65</v>
      </c>
      <c r="B73" s="23">
        <f t="shared" ref="B73:E73" si="21">ROUND($D59*$B$55*C$67/100,0)</f>
        <v>11</v>
      </c>
      <c r="C73" s="23">
        <f t="shared" si="21"/>
        <v>21</v>
      </c>
      <c r="D73" s="23">
        <f t="shared" si="21"/>
        <v>18</v>
      </c>
      <c r="E73" s="23">
        <f t="shared" si="21"/>
        <v>14</v>
      </c>
      <c r="F73" s="47"/>
      <c r="G73" s="23"/>
      <c r="H73" s="48"/>
    </row>
    <row r="74">
      <c r="A74" s="50">
        <v>0.75</v>
      </c>
      <c r="B74" s="23">
        <f t="shared" ref="B74:E74" si="22">ROUND($D60*$B$55*C$67/100,0)</f>
        <v>19</v>
      </c>
      <c r="C74" s="23">
        <f t="shared" si="22"/>
        <v>37</v>
      </c>
      <c r="D74" s="23">
        <f t="shared" si="22"/>
        <v>32</v>
      </c>
      <c r="E74" s="23">
        <f t="shared" si="22"/>
        <v>25</v>
      </c>
      <c r="F74" s="47"/>
      <c r="G74" s="23"/>
      <c r="H74" s="48"/>
    </row>
    <row r="75">
      <c r="A75" s="50">
        <v>0.85</v>
      </c>
      <c r="B75" s="23">
        <f t="shared" ref="B75:E75" si="23">ROUND($D61*$B$55*C$67/100,0)</f>
        <v>11</v>
      </c>
      <c r="C75" s="23">
        <f t="shared" si="23"/>
        <v>22</v>
      </c>
      <c r="D75" s="23">
        <f t="shared" si="23"/>
        <v>19</v>
      </c>
      <c r="E75" s="23">
        <f t="shared" si="23"/>
        <v>15</v>
      </c>
      <c r="F75" s="47"/>
      <c r="G75" s="23"/>
      <c r="H75" s="48"/>
    </row>
    <row r="76">
      <c r="A76" s="51">
        <v>0.925</v>
      </c>
      <c r="B76" s="52">
        <v>1.0</v>
      </c>
      <c r="C76" s="52">
        <v>1.0</v>
      </c>
      <c r="D76" s="52">
        <v>1.0</v>
      </c>
      <c r="E76" s="52">
        <v>1.0</v>
      </c>
      <c r="F76" s="47"/>
      <c r="G76" s="23"/>
      <c r="H76" s="48"/>
    </row>
    <row r="77">
      <c r="A77" s="53">
        <v>0.95</v>
      </c>
      <c r="B77" s="54">
        <v>0.0</v>
      </c>
      <c r="C77" s="54">
        <v>0.0</v>
      </c>
      <c r="D77" s="54">
        <v>0.0</v>
      </c>
      <c r="E77" s="54">
        <v>1.0</v>
      </c>
      <c r="F77" s="55"/>
      <c r="G77" s="13"/>
      <c r="H77" s="48"/>
    </row>
    <row r="78">
      <c r="A78" s="56" t="s">
        <v>32</v>
      </c>
      <c r="B78" s="57">
        <f t="shared" ref="B78:E78" si="24">ROUND(B72/B71*$B58/$B$51+B73/B71*$B59/$B$51+B74/B71*$B60/$B$51+B75/B71*$B61/$B$51+B76/B71*$B62/$B$51+B77/B71*$B63/$B$51,3)*100</f>
        <v>75.2</v>
      </c>
      <c r="C78" s="57">
        <f t="shared" si="24"/>
        <v>75</v>
      </c>
      <c r="D78" s="57">
        <f t="shared" si="24"/>
        <v>77</v>
      </c>
      <c r="E78" s="57">
        <f t="shared" si="24"/>
        <v>78.8</v>
      </c>
      <c r="F78" s="57"/>
      <c r="G78" s="57"/>
      <c r="H78" s="4">
        <f>AVERAGE(B78:G78)</f>
        <v>76.5</v>
      </c>
    </row>
    <row r="79">
      <c r="A79" s="58"/>
      <c r="B79" s="59"/>
      <c r="C79" s="59"/>
      <c r="D79" s="59"/>
      <c r="E79" s="59"/>
      <c r="F79" s="59"/>
      <c r="G79" s="59"/>
      <c r="H79" s="4"/>
    </row>
    <row r="80">
      <c r="A80" s="60">
        <v>3.0</v>
      </c>
      <c r="B80" s="61" t="s">
        <v>33</v>
      </c>
      <c r="C80" s="62"/>
      <c r="D80" s="62"/>
      <c r="E80" s="63"/>
      <c r="F80" s="64"/>
      <c r="G80" s="48"/>
      <c r="H80" s="65" t="str">
        <f t="array" ref="H80:H85">INDIRECT("Definitions!" &amp; "Session" &amp; A80 &amp; "Distribution")</f>
        <v>d25_33_42</v>
      </c>
      <c r="I80" s="66" t="str">
        <f t="array" ref="I80:I85">INDIRECT("Definitions!" &amp; "Week" &amp; A80 &amp; "Distribution")</f>
        <v>LMH</v>
      </c>
      <c r="J80" s="67"/>
      <c r="K80" s="67"/>
    </row>
    <row r="81">
      <c r="A81" s="60" t="s">
        <v>34</v>
      </c>
      <c r="B81" s="68" t="s">
        <v>35</v>
      </c>
      <c r="C81" s="62"/>
      <c r="D81" s="62"/>
      <c r="E81" s="63"/>
      <c r="F81" s="48"/>
      <c r="G81" s="48"/>
      <c r="H81" s="65" t="s">
        <v>36</v>
      </c>
      <c r="I81" s="66" t="s">
        <v>37</v>
      </c>
      <c r="J81" s="67"/>
      <c r="K81" s="67"/>
    </row>
    <row r="82">
      <c r="A82" s="69" t="s">
        <v>56</v>
      </c>
      <c r="B82" s="70" t="s">
        <v>38</v>
      </c>
      <c r="C82" s="70" t="s">
        <v>38</v>
      </c>
      <c r="D82" s="70" t="s">
        <v>38</v>
      </c>
      <c r="E82" s="70" t="s">
        <v>38</v>
      </c>
      <c r="F82" s="48"/>
      <c r="G82" s="48"/>
      <c r="H82" s="65" t="s">
        <v>39</v>
      </c>
      <c r="I82" s="66" t="s">
        <v>40</v>
      </c>
      <c r="J82" s="67"/>
      <c r="K82" s="67"/>
    </row>
    <row r="83">
      <c r="A83" s="71">
        <f t="array" ref="A83">VLOOKUP($A$35, Definitions!$A$21:$F$40, MATCH(MID($A$36, 1, 1), {"L"; "M"; "H"}, 0) + 1, FALSE)</f>
        <v>25</v>
      </c>
      <c r="B83" s="23">
        <f t="shared" ref="B83:E83" si="25">ROUND(B$71*$A83/100,0)</f>
        <v>11</v>
      </c>
      <c r="C83" s="23">
        <f t="shared" si="25"/>
        <v>21</v>
      </c>
      <c r="D83" s="23">
        <f t="shared" si="25"/>
        <v>18</v>
      </c>
      <c r="E83" s="23">
        <f t="shared" si="25"/>
        <v>14</v>
      </c>
      <c r="F83" s="48"/>
      <c r="G83" s="48"/>
      <c r="H83" s="65" t="s">
        <v>41</v>
      </c>
      <c r="I83" s="66" t="s">
        <v>42</v>
      </c>
      <c r="J83" s="67"/>
      <c r="K83" s="67"/>
    </row>
    <row r="84">
      <c r="A84" s="71">
        <f t="array" ref="A84">IF(LEN($A$82)&gt;=2, VLOOKUP($A$81, Definitions!$A$21:$F$40, MATCH(MID($A$82, 2, 1), {"L"; "M"; "H"}, 0) + 1, FALSE), "")</f>
        <v>33</v>
      </c>
      <c r="B84" s="23">
        <f t="shared" ref="B84:E84" si="26">ROUND(B$71*$A84/100,0)</f>
        <v>14</v>
      </c>
      <c r="C84" s="23">
        <f t="shared" si="26"/>
        <v>27</v>
      </c>
      <c r="D84" s="23">
        <f t="shared" si="26"/>
        <v>23</v>
      </c>
      <c r="E84" s="23">
        <f t="shared" si="26"/>
        <v>18</v>
      </c>
      <c r="F84" s="48"/>
      <c r="G84" s="48"/>
      <c r="H84" s="65" t="s">
        <v>43</v>
      </c>
      <c r="I84" s="66" t="s">
        <v>44</v>
      </c>
      <c r="J84" s="67"/>
      <c r="K84" s="67"/>
    </row>
    <row r="85">
      <c r="A85" s="72">
        <f t="array" ref="A85">IF(LEN($A$82)&gt;=3, IF(ISERROR(MATCH(MID($A$82, 3, 1), {"L"; "M"; "H"}, 0)), 0, VLOOKUP($A$81, Definitions!$A$21:$F$40, MATCH(MID($A$82, 3, 1), {"L"; "M"; "H"}, 0) + 1, FALSE)), 0)
</f>
        <v>42</v>
      </c>
      <c r="B85" s="23">
        <f t="shared" ref="B85:E85" si="27">ROUND(B$71*$A85/100,0)</f>
        <v>18</v>
      </c>
      <c r="C85" s="23">
        <f t="shared" si="27"/>
        <v>35</v>
      </c>
      <c r="D85" s="23">
        <f t="shared" si="27"/>
        <v>29</v>
      </c>
      <c r="E85" s="23">
        <f t="shared" si="27"/>
        <v>23</v>
      </c>
      <c r="F85" s="48"/>
      <c r="G85" s="48"/>
      <c r="H85" s="65" t="s">
        <v>45</v>
      </c>
      <c r="I85" s="66" t="s">
        <v>46</v>
      </c>
      <c r="J85" s="67"/>
      <c r="K85" s="67"/>
    </row>
    <row r="86">
      <c r="A86" s="1"/>
      <c r="H86" s="59"/>
      <c r="I86" s="73"/>
    </row>
    <row r="87">
      <c r="A87" s="60">
        <v>2.0</v>
      </c>
      <c r="B87" s="61" t="s">
        <v>33</v>
      </c>
      <c r="C87" s="62"/>
      <c r="D87" s="62"/>
      <c r="E87" s="63"/>
      <c r="H87" s="65" t="str">
        <f t="array" ref="H87:H91">INDIRECT("Definitions!" &amp; "Session" &amp; A87 &amp; "Distribution")</f>
        <v>d40_60</v>
      </c>
      <c r="I87" s="65" t="str">
        <f t="array" ref="I87:J88">INDIRECT("Definitions!" &amp; "Week" &amp; A87 &amp; "Distribution")</f>
        <v>MH</v>
      </c>
      <c r="J87" s="74"/>
    </row>
    <row r="88">
      <c r="A88" s="60" t="s">
        <v>47</v>
      </c>
      <c r="B88" s="68" t="s">
        <v>35</v>
      </c>
      <c r="C88" s="62"/>
      <c r="D88" s="62"/>
      <c r="E88" s="63"/>
      <c r="H88" s="65" t="s">
        <v>48</v>
      </c>
      <c r="I88" s="65" t="s">
        <v>49</v>
      </c>
      <c r="J88" s="74"/>
    </row>
    <row r="89">
      <c r="A89" s="75" t="s">
        <v>50</v>
      </c>
      <c r="B89" s="70" t="s">
        <v>38</v>
      </c>
      <c r="C89" s="70" t="s">
        <v>38</v>
      </c>
      <c r="D89" s="70" t="s">
        <v>38</v>
      </c>
      <c r="E89" s="70" t="s">
        <v>38</v>
      </c>
      <c r="H89" s="65" t="s">
        <v>51</v>
      </c>
      <c r="I89" s="65"/>
    </row>
    <row r="90">
      <c r="A90" s="71">
        <f t="array" ref="A90">VLOOKUP($A$42, Definitions!$A$21:$F$40, MATCH(MID($A$43, 1, 1), {"L"; "M"; "H"}, 0) + 1, FALSE)</f>
        <v>40</v>
      </c>
      <c r="B90" s="23">
        <f t="shared" ref="B90:E90" si="28">ROUND(B$71*$A90/100,0)</f>
        <v>17</v>
      </c>
      <c r="C90" s="23">
        <f t="shared" si="28"/>
        <v>33</v>
      </c>
      <c r="D90" s="23">
        <f t="shared" si="28"/>
        <v>28</v>
      </c>
      <c r="E90" s="23">
        <f t="shared" si="28"/>
        <v>22</v>
      </c>
      <c r="H90" s="65" t="s">
        <v>52</v>
      </c>
      <c r="I90" s="65"/>
    </row>
    <row r="91">
      <c r="A91" s="71">
        <f t="array" ref="A91">IF(LEN($A$43)&gt;=2, VLOOKUP($A$42, Definitions!$A$21:$F$40, MATCH(MID($A$43, 2, 1), {"L"; "M"; "H"}, 0) + 1, FALSE), "")</f>
        <v>60</v>
      </c>
      <c r="B91" s="23">
        <f t="shared" ref="B91:E91" si="29">ROUND(B$71*$A91/100,0)</f>
        <v>26</v>
      </c>
      <c r="C91" s="23">
        <f t="shared" si="29"/>
        <v>50</v>
      </c>
      <c r="D91" s="23">
        <f t="shared" si="29"/>
        <v>42</v>
      </c>
      <c r="E91" s="23">
        <f t="shared" si="29"/>
        <v>33</v>
      </c>
      <c r="H91" s="65" t="s">
        <v>53</v>
      </c>
      <c r="I91" s="65"/>
    </row>
    <row r="92">
      <c r="A92" s="72">
        <f t="array" ref="A92">IF(LEN($A$43)&gt;=3, IF(ISERROR(MATCH(MID($A$43, 3, 1), {"L"; "M"; "H"}, 0)), 0, VLOOKUP($A$42, Definitions!$A$21:$F$40, MATCH(MID($A$43, 3, 1), {"L"; "M"; "H"}, 0) + 1, FALSE)), 0)
</f>
        <v>0</v>
      </c>
      <c r="B92" s="23">
        <f t="shared" ref="B92:E92" si="30">ROUND(B$71*$A92/100,0)</f>
        <v>0</v>
      </c>
      <c r="C92" s="23">
        <f t="shared" si="30"/>
        <v>0</v>
      </c>
      <c r="D92" s="23">
        <f t="shared" si="30"/>
        <v>0</v>
      </c>
      <c r="E92" s="23">
        <f t="shared" si="30"/>
        <v>0</v>
      </c>
      <c r="H92" s="76"/>
    </row>
    <row r="93">
      <c r="A93" s="77"/>
      <c r="B93" s="78"/>
      <c r="C93" s="78"/>
      <c r="D93" s="78"/>
      <c r="E93" s="78"/>
      <c r="F93" s="78"/>
      <c r="G93" s="78"/>
      <c r="H93" s="79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85" t="s">
        <v>0</v>
      </c>
      <c r="B94" s="3" t="s">
        <v>57</v>
      </c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7" t="s">
        <v>2</v>
      </c>
      <c r="B95" s="88" t="s">
        <v>58</v>
      </c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7"/>
      <c r="B96" s="88" t="s">
        <v>4</v>
      </c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9"/>
      <c r="B97" s="90" t="s">
        <v>5</v>
      </c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7" t="s">
        <v>6</v>
      </c>
      <c r="B98" s="91">
        <v>165.0</v>
      </c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7" t="s">
        <v>7</v>
      </c>
      <c r="B99" s="91">
        <v>2.5</v>
      </c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92" t="s">
        <v>59</v>
      </c>
      <c r="B100" s="93">
        <v>180.0</v>
      </c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94" t="s">
        <v>9</v>
      </c>
      <c r="B101" s="90">
        <v>4.0</v>
      </c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95" t="s">
        <v>60</v>
      </c>
      <c r="B102" s="96">
        <f>ROUNDUP(B100*B101/4,0)</f>
        <v>180</v>
      </c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97"/>
      <c r="B103" s="98"/>
      <c r="C103" s="98"/>
      <c r="D103" s="98"/>
      <c r="E103" s="98"/>
      <c r="F103" s="86"/>
      <c r="G103" s="86"/>
      <c r="H103" s="98"/>
      <c r="I103" s="98"/>
      <c r="J103" s="98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99" t="s">
        <v>11</v>
      </c>
      <c r="B104" s="100" t="s">
        <v>12</v>
      </c>
      <c r="C104" s="100" t="s">
        <v>13</v>
      </c>
      <c r="D104" s="100" t="s">
        <v>14</v>
      </c>
      <c r="E104" s="100" t="s">
        <v>15</v>
      </c>
      <c r="F104" s="86"/>
      <c r="G104" s="101"/>
      <c r="H104" s="100" t="s">
        <v>16</v>
      </c>
      <c r="I104" s="100" t="s">
        <v>17</v>
      </c>
      <c r="J104" s="100" t="s">
        <v>18</v>
      </c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102" t="s">
        <v>19</v>
      </c>
      <c r="B105" s="103">
        <v>90.0</v>
      </c>
      <c r="C105" s="104">
        <f t="shared" ref="C105:C110" si="31">B105/$B$98</f>
        <v>0.5454545455</v>
      </c>
      <c r="D105" s="105">
        <v>0.0</v>
      </c>
      <c r="E105" s="90">
        <f t="shared" ref="E105:E108" si="32">ROUND($B$100*D105,0)</f>
        <v>0</v>
      </c>
      <c r="F105" s="86"/>
      <c r="G105" s="101"/>
      <c r="H105" s="90">
        <f>MROUND($B$98*55%,$B$6)</f>
        <v>90</v>
      </c>
      <c r="I105" s="106" t="str">
        <f t="shared" ref="I105:I110" si="33">"± " &amp; MROUND(H105*J105,$B$99) &amp; "kg"</f>
        <v>± 2,5kg</v>
      </c>
      <c r="J105" s="105">
        <v>0.025</v>
      </c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102" t="s">
        <v>20</v>
      </c>
      <c r="B106" s="103">
        <v>110.0</v>
      </c>
      <c r="C106" s="104">
        <f t="shared" si="31"/>
        <v>0.6666666667</v>
      </c>
      <c r="D106" s="107">
        <f>100%-D107-D108-D109-D110-D105</f>
        <v>0.3188888889</v>
      </c>
      <c r="E106" s="90">
        <f t="shared" si="32"/>
        <v>57</v>
      </c>
      <c r="F106" s="86"/>
      <c r="G106" s="101"/>
      <c r="H106" s="90">
        <f>MROUND($B$98*65%,$B$6)</f>
        <v>107.5</v>
      </c>
      <c r="I106" s="108" t="str">
        <f t="shared" si="33"/>
        <v>± 2,5kg</v>
      </c>
      <c r="J106" s="105">
        <v>0.025</v>
      </c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102" t="s">
        <v>21</v>
      </c>
      <c r="B107" s="103">
        <v>125.0</v>
      </c>
      <c r="C107" s="104">
        <f t="shared" si="31"/>
        <v>0.7575757576</v>
      </c>
      <c r="D107" s="109">
        <v>0.45</v>
      </c>
      <c r="E107" s="90">
        <f t="shared" si="32"/>
        <v>81</v>
      </c>
      <c r="F107" s="86"/>
      <c r="G107" s="101"/>
      <c r="H107" s="90">
        <f>MROUND($B$98*75%,$B$6)</f>
        <v>125</v>
      </c>
      <c r="I107" s="108" t="str">
        <f t="shared" si="33"/>
        <v>± 2,5kg</v>
      </c>
      <c r="J107" s="105">
        <v>0.02</v>
      </c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102" t="s">
        <v>22</v>
      </c>
      <c r="B108" s="103">
        <v>140.0</v>
      </c>
      <c r="C108" s="104">
        <f t="shared" si="31"/>
        <v>0.8484848485</v>
      </c>
      <c r="D108" s="109">
        <v>0.22</v>
      </c>
      <c r="E108" s="90">
        <f t="shared" si="32"/>
        <v>40</v>
      </c>
      <c r="F108" s="86"/>
      <c r="G108" s="101"/>
      <c r="H108" s="90">
        <f>MROUND($B$98*85%,$B$6)</f>
        <v>140</v>
      </c>
      <c r="I108" s="108" t="str">
        <f t="shared" si="33"/>
        <v>± 2,5kg</v>
      </c>
      <c r="J108" s="105">
        <v>0.02</v>
      </c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102" t="s">
        <v>23</v>
      </c>
      <c r="B109" s="103">
        <v>152.5</v>
      </c>
      <c r="C109" s="104">
        <f t="shared" si="31"/>
        <v>0.9242424242</v>
      </c>
      <c r="D109" s="107">
        <f>E109/B102</f>
        <v>0.01111111111</v>
      </c>
      <c r="E109" s="103">
        <v>2.0</v>
      </c>
      <c r="F109" s="86"/>
      <c r="G109" s="101"/>
      <c r="H109" s="90">
        <f>MROUND($B$98*92.5%,$B$6)</f>
        <v>152.5</v>
      </c>
      <c r="I109" s="108" t="str">
        <f t="shared" si="33"/>
        <v>± 2,5kg</v>
      </c>
      <c r="J109" s="105">
        <v>0.015</v>
      </c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99" t="s">
        <v>24</v>
      </c>
      <c r="B110" s="110">
        <v>157.5</v>
      </c>
      <c r="C110" s="111">
        <f t="shared" si="31"/>
        <v>0.9545454545</v>
      </c>
      <c r="D110" s="112">
        <f>E110/B102</f>
        <v>0</v>
      </c>
      <c r="E110" s="110">
        <v>0.0</v>
      </c>
      <c r="F110" s="86"/>
      <c r="G110" s="101"/>
      <c r="H110" s="96">
        <f>MROUND($B$98*95%,$B$6)</f>
        <v>157.5</v>
      </c>
      <c r="I110" s="113" t="str">
        <f t="shared" si="33"/>
        <v>± 5kg</v>
      </c>
      <c r="J110" s="114">
        <v>0.025</v>
      </c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97"/>
      <c r="B111" s="98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115" t="s">
        <v>25</v>
      </c>
      <c r="B112" s="116">
        <f>B105/B98*D105+B106/B98*D106+B107/B98*D107+B108/B98*D108+B109/B98*D109+B110/B98*D110</f>
        <v>0.7504377104</v>
      </c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97"/>
      <c r="B113" s="98"/>
      <c r="C113" s="98"/>
      <c r="D113" s="98"/>
      <c r="E113" s="98"/>
      <c r="F113" s="98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7" t="s">
        <v>26</v>
      </c>
      <c r="B114" s="117" t="s">
        <v>61</v>
      </c>
      <c r="C114" s="118">
        <f>VLOOKUP($B$114,IF(C3="advanced", Definitions!$J$3:$N$18, IF(C3="elite", Definitions!$O$3:$S$18, Definitions!$A$3:$E$18)),2,FALSE)</f>
        <v>22</v>
      </c>
      <c r="D114" s="118">
        <f>VLOOKUP($B$114,IF(C3="advanced", Definitions!$J$3:$N$18, IF(C3="elite", Definitions!$O$3:$S$18, Definitions!$A$3:$E$18)),3,FALSE)</f>
        <v>28</v>
      </c>
      <c r="E114" s="118">
        <f>VLOOKUP(B114,IF(C3="advanced", Definitions!$J$3:$N$18, IF(C3="elite", Definitions!$O$3:$S$18, Definitions!$A$3:$E$18)),4,FALSE)</f>
        <v>17</v>
      </c>
      <c r="F114" s="118">
        <f>VLOOKUP(B114,IF(C3="advanced", Definitions!$J$3:$N$18, IF(C3="elite", Definitions!$O$3:$S$18, Definitions!$A$3:$E$18)),5,FALSE)</f>
        <v>33</v>
      </c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115" t="s">
        <v>28</v>
      </c>
      <c r="B115" s="119" t="s">
        <v>62</v>
      </c>
      <c r="C115" s="120">
        <f>VLOOKUP($B$115,IF(C3="advanced", Definitions!$J$3:$N$18, IF(C3="elite", Definitions!$O$3:$S$18, Definitions!$A$3:$E$18)),2,FALSE)</f>
        <v>17</v>
      </c>
      <c r="D115" s="120">
        <f>VLOOKUP($B$115,IF(C3="advanced", Definitions!$J$3:$N$18, IF(C3="elite", Definitions!$O$3:$S$18, Definitions!$A$3:$E$18)),3,FALSE)</f>
        <v>28</v>
      </c>
      <c r="E115" s="120">
        <f>VLOOKUP($B$115,IF(C3="advanced", Definitions!$J$3:$N$18, IF(C3="elite", Definitions!$O$3:$S$18, Definitions!$A$3:$E$18)),4,FALSE)</f>
        <v>33</v>
      </c>
      <c r="F115" s="120">
        <f>VLOOKUP($B$115,IF(C3="advanced", Definitions!$J$3:$N$18, IF(C3="elite", Definitions!$O$3:$S$18, Definitions!$A$3:$E$18)),5,FALSE)</f>
        <v>22</v>
      </c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97"/>
      <c r="B116" s="98"/>
      <c r="C116" s="98"/>
      <c r="D116" s="98"/>
      <c r="E116" s="98"/>
      <c r="F116" s="98"/>
      <c r="G116" s="98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115" t="s">
        <v>30</v>
      </c>
      <c r="B117" s="100">
        <v>1.0</v>
      </c>
      <c r="C117" s="100">
        <v>2.0</v>
      </c>
      <c r="D117" s="100">
        <v>3.0</v>
      </c>
      <c r="E117" s="100">
        <v>4.0</v>
      </c>
      <c r="F117" s="100">
        <v>5.0</v>
      </c>
      <c r="G117" s="100">
        <v>6.0</v>
      </c>
      <c r="H117" s="121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102" t="s">
        <v>31</v>
      </c>
      <c r="B118" s="90">
        <f t="shared" ref="B118:E118" si="34">ROUND($B$102*C114/100,0)</f>
        <v>40</v>
      </c>
      <c r="C118" s="90">
        <f t="shared" si="34"/>
        <v>50</v>
      </c>
      <c r="D118" s="90">
        <f t="shared" si="34"/>
        <v>31</v>
      </c>
      <c r="E118" s="90">
        <f t="shared" si="34"/>
        <v>59</v>
      </c>
      <c r="F118" s="101"/>
      <c r="G118" s="122"/>
      <c r="H118" s="123">
        <f>SUM(B118:G118)</f>
        <v>180</v>
      </c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124">
        <v>0.55</v>
      </c>
      <c r="B119" s="90">
        <f t="shared" ref="B119:E119" si="35">ROUND($D105*$B$102*C$114/100,0)</f>
        <v>0</v>
      </c>
      <c r="C119" s="90">
        <f t="shared" si="35"/>
        <v>0</v>
      </c>
      <c r="D119" s="90">
        <f t="shared" si="35"/>
        <v>0</v>
      </c>
      <c r="E119" s="90">
        <f t="shared" si="35"/>
        <v>0</v>
      </c>
      <c r="F119" s="101"/>
      <c r="G119" s="122"/>
      <c r="H119" s="121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124">
        <v>0.65</v>
      </c>
      <c r="B120" s="90">
        <f t="shared" ref="B120:E120" si="36">ROUND($D106*$B$102*C$114/100,0)</f>
        <v>13</v>
      </c>
      <c r="C120" s="90">
        <f t="shared" si="36"/>
        <v>16</v>
      </c>
      <c r="D120" s="90">
        <f t="shared" si="36"/>
        <v>10</v>
      </c>
      <c r="E120" s="90">
        <f t="shared" si="36"/>
        <v>19</v>
      </c>
      <c r="F120" s="101"/>
      <c r="G120" s="122"/>
      <c r="H120" s="121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124">
        <v>0.75</v>
      </c>
      <c r="B121" s="90">
        <f t="shared" ref="B121:E121" si="37">ROUND($D107*$B$102*C$114/100,0)</f>
        <v>18</v>
      </c>
      <c r="C121" s="90">
        <f t="shared" si="37"/>
        <v>23</v>
      </c>
      <c r="D121" s="90">
        <f t="shared" si="37"/>
        <v>14</v>
      </c>
      <c r="E121" s="90">
        <f t="shared" si="37"/>
        <v>27</v>
      </c>
      <c r="F121" s="101"/>
      <c r="G121" s="122"/>
      <c r="H121" s="121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124">
        <v>0.85</v>
      </c>
      <c r="B122" s="90">
        <f t="shared" ref="B122:E122" si="38">ROUND($D108*$B$102*C$114/100,0)</f>
        <v>9</v>
      </c>
      <c r="C122" s="90">
        <f t="shared" si="38"/>
        <v>11</v>
      </c>
      <c r="D122" s="90">
        <f t="shared" si="38"/>
        <v>7</v>
      </c>
      <c r="E122" s="90">
        <f t="shared" si="38"/>
        <v>13</v>
      </c>
      <c r="F122" s="101"/>
      <c r="G122" s="122"/>
      <c r="H122" s="121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125">
        <v>0.925</v>
      </c>
      <c r="B123" s="126">
        <v>0.0</v>
      </c>
      <c r="C123" s="126">
        <v>1.0</v>
      </c>
      <c r="D123" s="126">
        <v>0.0</v>
      </c>
      <c r="E123" s="126">
        <v>1.0</v>
      </c>
      <c r="F123" s="101"/>
      <c r="G123" s="122"/>
      <c r="H123" s="121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127">
        <v>0.95</v>
      </c>
      <c r="B124" s="128">
        <v>0.0</v>
      </c>
      <c r="C124" s="128">
        <v>0.0</v>
      </c>
      <c r="D124" s="129">
        <v>0.0</v>
      </c>
      <c r="E124" s="128">
        <v>0.0</v>
      </c>
      <c r="F124" s="130"/>
      <c r="G124" s="131"/>
      <c r="H124" s="121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132" t="s">
        <v>32</v>
      </c>
      <c r="B125" s="133">
        <f t="shared" ref="B125:E125" si="39">ROUND(B119/B118*$B105/$B$98+B120/B118*$B106/$B$98+B121/B118*$B107/$B$98+B122/B118*$B108/$B$98+B123/B118*$B109/$B$98+B124/B118*$B110/$B$98,3)*100</f>
        <v>74.8</v>
      </c>
      <c r="C125" s="133">
        <f t="shared" si="39"/>
        <v>76.7</v>
      </c>
      <c r="D125" s="133">
        <f t="shared" si="39"/>
        <v>74.9</v>
      </c>
      <c r="E125" s="133">
        <f t="shared" si="39"/>
        <v>76.4</v>
      </c>
      <c r="F125" s="134"/>
      <c r="G125" s="134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97"/>
      <c r="B126" s="98"/>
      <c r="C126" s="98"/>
      <c r="D126" s="98"/>
      <c r="E126" s="98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135">
        <v>3.0</v>
      </c>
      <c r="B127" s="136" t="s">
        <v>33</v>
      </c>
      <c r="C127" s="137"/>
      <c r="D127" s="137"/>
      <c r="E127" s="138"/>
      <c r="F127" s="121"/>
      <c r="G127" s="121"/>
      <c r="H127" s="139" t="str">
        <f t="array" ref="H127:H132">INDIRECT("Definitions!" &amp; "Session" &amp; A127 &amp; "Distribution")</f>
        <v>d25_33_42</v>
      </c>
      <c r="I127" s="140" t="str">
        <f t="array" ref="I127:I132">INDIRECT("Definitions!" &amp; "Week" &amp; A127 &amp; "Distribution")</f>
        <v>LMH</v>
      </c>
      <c r="J127" s="121"/>
      <c r="K127" s="121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141" t="s">
        <v>34</v>
      </c>
      <c r="B128" s="136" t="s">
        <v>35</v>
      </c>
      <c r="C128" s="137"/>
      <c r="D128" s="137"/>
      <c r="E128" s="138"/>
      <c r="F128" s="121"/>
      <c r="G128" s="121"/>
      <c r="H128" s="139" t="s">
        <v>36</v>
      </c>
      <c r="I128" s="140" t="s">
        <v>37</v>
      </c>
      <c r="J128" s="121"/>
      <c r="K128" s="121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142" t="s">
        <v>37</v>
      </c>
      <c r="B129" s="143" t="s">
        <v>38</v>
      </c>
      <c r="C129" s="143" t="s">
        <v>38</v>
      </c>
      <c r="D129" s="143" t="s">
        <v>38</v>
      </c>
      <c r="E129" s="143" t="s">
        <v>38</v>
      </c>
      <c r="F129" s="121"/>
      <c r="G129" s="121"/>
      <c r="H129" s="139" t="s">
        <v>39</v>
      </c>
      <c r="I129" s="140" t="s">
        <v>40</v>
      </c>
      <c r="J129" s="121"/>
      <c r="K129" s="121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144">
        <f t="array" ref="A130">VLOOKUP($A$128, Definitions!$A$21:$F$40, MATCH(MID($A$129, 1, 1), {"L"; "M"; "H"}, 0) + 1, FALSE)</f>
        <v>25</v>
      </c>
      <c r="B130" s="90">
        <f t="shared" ref="B130:E130" si="40">ROUND(B$118*$A130/100,0)</f>
        <v>10</v>
      </c>
      <c r="C130" s="90">
        <f t="shared" si="40"/>
        <v>13</v>
      </c>
      <c r="D130" s="90">
        <f t="shared" si="40"/>
        <v>8</v>
      </c>
      <c r="E130" s="90">
        <f t="shared" si="40"/>
        <v>15</v>
      </c>
      <c r="F130" s="121"/>
      <c r="G130" s="121"/>
      <c r="H130" s="139" t="s">
        <v>41</v>
      </c>
      <c r="I130" s="140" t="s">
        <v>42</v>
      </c>
      <c r="J130" s="121"/>
      <c r="K130" s="121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144">
        <f t="array" ref="A131">IF(LEN($A$129)&gt;=2, VLOOKUP($A$128, Definitions!$A$21:$F$40, MATCH(MID($A$129, 2, 1), {"L"; "M"; "H"}, 0) + 1, FALSE), "")</f>
        <v>42</v>
      </c>
      <c r="B131" s="90">
        <f t="shared" ref="B131:E131" si="41">ROUND(B$118*$A131/100,0)</f>
        <v>17</v>
      </c>
      <c r="C131" s="90">
        <f t="shared" si="41"/>
        <v>21</v>
      </c>
      <c r="D131" s="90">
        <f t="shared" si="41"/>
        <v>13</v>
      </c>
      <c r="E131" s="90">
        <f t="shared" si="41"/>
        <v>25</v>
      </c>
      <c r="F131" s="121"/>
      <c r="G131" s="121"/>
      <c r="H131" s="139" t="s">
        <v>43</v>
      </c>
      <c r="I131" s="140" t="s">
        <v>44</v>
      </c>
      <c r="J131" s="121"/>
      <c r="K131" s="121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145">
        <f t="array" ref="A132">IF(LEN($A$129)&gt;=3, IF(ISERROR(MATCH(MID($A$129, 3, 1), {"L"; "M"; "H"}, 0)), 0, VLOOKUP($A$128, Definitions!$A$21:$F$40, MATCH(MID($A$129, 3, 1), {"L"; "M"; "H"}, 0) + 1, FALSE)), 0)
</f>
        <v>33</v>
      </c>
      <c r="B132" s="90">
        <f t="shared" ref="B132:E132" si="42">ROUND(B$118*$A132/100,0)</f>
        <v>13</v>
      </c>
      <c r="C132" s="90">
        <f t="shared" si="42"/>
        <v>17</v>
      </c>
      <c r="D132" s="90">
        <f t="shared" si="42"/>
        <v>10</v>
      </c>
      <c r="E132" s="90">
        <f t="shared" si="42"/>
        <v>19</v>
      </c>
      <c r="F132" s="121"/>
      <c r="G132" s="121"/>
      <c r="H132" s="139" t="s">
        <v>45</v>
      </c>
      <c r="I132" s="140" t="s">
        <v>46</v>
      </c>
      <c r="J132" s="121"/>
      <c r="K132" s="121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97"/>
      <c r="B133" s="98"/>
      <c r="C133" s="98"/>
      <c r="D133" s="98"/>
      <c r="E133" s="98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141">
        <v>2.0</v>
      </c>
      <c r="B134" s="136" t="s">
        <v>33</v>
      </c>
      <c r="C134" s="137"/>
      <c r="D134" s="137"/>
      <c r="E134" s="138"/>
      <c r="F134" s="86"/>
      <c r="G134" s="86"/>
      <c r="H134" s="139" t="str">
        <f t="array" ref="H134:H138">INDIRECT("Definitions!" &amp; "Session" &amp; A134 &amp; "Distribution")</f>
        <v>d40_60</v>
      </c>
      <c r="I134" s="139" t="str">
        <f t="array" ref="I134:J135">INDIRECT("Definitions!" &amp; "Week" &amp; A134 &amp; "Distribution")</f>
        <v>MH</v>
      </c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141" t="s">
        <v>47</v>
      </c>
      <c r="B135" s="136" t="s">
        <v>35</v>
      </c>
      <c r="C135" s="137"/>
      <c r="D135" s="137"/>
      <c r="E135" s="138"/>
      <c r="F135" s="86"/>
      <c r="G135" s="86"/>
      <c r="H135" s="139" t="s">
        <v>48</v>
      </c>
      <c r="I135" s="139" t="s">
        <v>49</v>
      </c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144" t="s">
        <v>50</v>
      </c>
      <c r="B136" s="143" t="s">
        <v>38</v>
      </c>
      <c r="C136" s="143" t="s">
        <v>38</v>
      </c>
      <c r="D136" s="143" t="s">
        <v>38</v>
      </c>
      <c r="E136" s="143" t="s">
        <v>38</v>
      </c>
      <c r="F136" s="86"/>
      <c r="G136" s="86"/>
      <c r="H136" s="139" t="s">
        <v>51</v>
      </c>
      <c r="I136" s="14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144">
        <f t="array" ref="A137">VLOOKUP($A$42, Definitions!$A$21:$F$40, MATCH(MID($A$43, 1, 1), {"L"; "M"; "H"}, 0) + 1, FALSE)</f>
        <v>40</v>
      </c>
      <c r="B137" s="90">
        <f t="shared" ref="B137:E137" si="43">ROUND(B$118*$A137/100,0)</f>
        <v>16</v>
      </c>
      <c r="C137" s="90">
        <f t="shared" si="43"/>
        <v>20</v>
      </c>
      <c r="D137" s="90">
        <f t="shared" si="43"/>
        <v>12</v>
      </c>
      <c r="E137" s="90">
        <f t="shared" si="43"/>
        <v>24</v>
      </c>
      <c r="F137" s="86"/>
      <c r="G137" s="86"/>
      <c r="H137" s="139" t="s">
        <v>52</v>
      </c>
      <c r="I137" s="14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144">
        <f t="array" ref="A138">IF(LEN($A$43)&gt;=2, VLOOKUP($A$42, Definitions!$A$21:$F$40, MATCH(MID($A$43, 2, 1), {"L"; "M"; "H"}, 0) + 1, FALSE), "")</f>
        <v>60</v>
      </c>
      <c r="B138" s="90">
        <f t="shared" ref="B138:E138" si="44">ROUND(B$118*$A138/100,0)</f>
        <v>24</v>
      </c>
      <c r="C138" s="90">
        <f t="shared" si="44"/>
        <v>30</v>
      </c>
      <c r="D138" s="90">
        <f t="shared" si="44"/>
        <v>19</v>
      </c>
      <c r="E138" s="90">
        <f t="shared" si="44"/>
        <v>35</v>
      </c>
      <c r="F138" s="86"/>
      <c r="G138" s="86"/>
      <c r="H138" s="139" t="s">
        <v>53</v>
      </c>
      <c r="I138" s="14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145">
        <f t="array" ref="A139">IF(LEN($A$43)&gt;=3, IF(ISERROR(MATCH(MID($A$43, 3, 1), {"L"; "M"; "H"}, 0)), 0, VLOOKUP($A$42, Definitions!$A$21:$F$40, MATCH(MID($A$43, 3, 1), {"L"; "M"; "H"}, 0) + 1, FALSE)), 0)
</f>
        <v>0</v>
      </c>
      <c r="B139" s="90">
        <f t="shared" ref="B139:E139" si="45">ROUND(B$118*$A139/100,0)</f>
        <v>0</v>
      </c>
      <c r="C139" s="90">
        <f t="shared" si="45"/>
        <v>0</v>
      </c>
      <c r="D139" s="90">
        <f t="shared" si="45"/>
        <v>0</v>
      </c>
      <c r="E139" s="90">
        <f t="shared" si="45"/>
        <v>0</v>
      </c>
      <c r="F139" s="86"/>
      <c r="G139" s="86"/>
      <c r="H139" s="14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147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77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149"/>
      <c r="B142" s="149"/>
      <c r="C142" s="149"/>
      <c r="D142" s="149"/>
      <c r="E142" s="149"/>
      <c r="F142" s="149"/>
      <c r="G142" s="149"/>
    </row>
    <row r="143">
      <c r="A143" s="150" t="s">
        <v>63</v>
      </c>
      <c r="B143" s="150" t="s">
        <v>64</v>
      </c>
      <c r="C143" s="150" t="s">
        <v>65</v>
      </c>
      <c r="D143" s="150" t="s">
        <v>66</v>
      </c>
      <c r="E143" s="150" t="s">
        <v>67</v>
      </c>
      <c r="F143" s="150" t="s">
        <v>68</v>
      </c>
      <c r="G143" s="149"/>
    </row>
    <row r="144">
      <c r="A144" s="150">
        <v>1.0</v>
      </c>
      <c r="B144" s="150" t="s">
        <v>69</v>
      </c>
      <c r="C144" s="150" t="s">
        <v>70</v>
      </c>
      <c r="D144" s="150" t="s">
        <v>71</v>
      </c>
      <c r="E144" s="150" t="s">
        <v>72</v>
      </c>
      <c r="F144" s="150" t="s">
        <v>73</v>
      </c>
      <c r="G144" s="149"/>
    </row>
    <row r="145">
      <c r="B145" s="150" t="s">
        <v>74</v>
      </c>
      <c r="C145" s="150" t="s">
        <v>73</v>
      </c>
      <c r="D145" s="150" t="s">
        <v>75</v>
      </c>
      <c r="E145" s="150" t="s">
        <v>76</v>
      </c>
      <c r="F145" s="150" t="s">
        <v>73</v>
      </c>
      <c r="G145" s="149"/>
    </row>
    <row r="146">
      <c r="B146" s="150" t="s">
        <v>77</v>
      </c>
      <c r="C146" s="150" t="s">
        <v>73</v>
      </c>
      <c r="D146" s="150" t="s">
        <v>73</v>
      </c>
      <c r="E146" s="150" t="s">
        <v>78</v>
      </c>
      <c r="F146" s="150" t="s">
        <v>73</v>
      </c>
      <c r="G146" s="149"/>
    </row>
    <row r="147">
      <c r="A147" s="149"/>
      <c r="B147" s="149"/>
      <c r="C147" s="149"/>
      <c r="D147" s="149"/>
      <c r="E147" s="149"/>
      <c r="F147" s="149"/>
      <c r="G147" s="149"/>
    </row>
    <row r="148">
      <c r="A148" s="149"/>
      <c r="B148" s="149"/>
      <c r="C148" s="149"/>
      <c r="D148" s="149"/>
      <c r="E148" s="149"/>
      <c r="F148" s="149"/>
      <c r="G148" s="149"/>
    </row>
    <row r="149">
      <c r="A149" s="149"/>
      <c r="B149" s="149"/>
      <c r="C149" s="149"/>
      <c r="D149" s="149"/>
      <c r="E149" s="149"/>
      <c r="F149" s="149"/>
      <c r="G149" s="149"/>
    </row>
    <row r="150">
      <c r="A150" s="149"/>
      <c r="B150" s="149"/>
      <c r="C150" s="149"/>
      <c r="D150" s="149"/>
      <c r="E150" s="149"/>
      <c r="F150" s="149"/>
      <c r="G150" s="149"/>
    </row>
    <row r="151">
      <c r="A151" s="149"/>
      <c r="B151" s="149"/>
      <c r="C151" s="149"/>
      <c r="D151" s="149"/>
      <c r="E151" s="149"/>
      <c r="F151" s="149"/>
      <c r="G151" s="149"/>
    </row>
    <row r="152">
      <c r="A152" s="149"/>
      <c r="B152" s="149"/>
      <c r="C152" s="149"/>
      <c r="D152" s="149"/>
      <c r="E152" s="149"/>
      <c r="F152" s="149"/>
      <c r="G152" s="149"/>
    </row>
    <row r="153">
      <c r="A153" s="149"/>
      <c r="B153" s="149"/>
      <c r="C153" s="149"/>
      <c r="D153" s="149"/>
      <c r="E153" s="149"/>
      <c r="F153" s="149"/>
      <c r="G153" s="149"/>
    </row>
    <row r="154">
      <c r="A154" s="149"/>
      <c r="B154" s="149"/>
      <c r="C154" s="149"/>
      <c r="D154" s="149"/>
      <c r="E154" s="149"/>
      <c r="F154" s="149"/>
      <c r="G154" s="149"/>
    </row>
    <row r="155">
      <c r="A155" s="149"/>
      <c r="B155" s="149"/>
      <c r="C155" s="149"/>
      <c r="D155" s="149"/>
      <c r="E155" s="149"/>
      <c r="F155" s="149"/>
      <c r="G155" s="149"/>
    </row>
    <row r="156">
      <c r="A156" s="149"/>
      <c r="B156" s="149"/>
      <c r="C156" s="149"/>
      <c r="D156" s="149"/>
      <c r="E156" s="149"/>
      <c r="F156" s="149"/>
      <c r="G156" s="149"/>
    </row>
    <row r="157">
      <c r="A157" s="149"/>
      <c r="B157" s="149"/>
      <c r="C157" s="149"/>
      <c r="D157" s="149"/>
      <c r="E157" s="149"/>
      <c r="F157" s="149"/>
      <c r="G157" s="149"/>
    </row>
    <row r="158">
      <c r="A158" s="149"/>
      <c r="B158" s="149"/>
      <c r="C158" s="149"/>
      <c r="D158" s="149"/>
      <c r="E158" s="149"/>
      <c r="F158" s="149"/>
      <c r="G158" s="149"/>
    </row>
    <row r="159">
      <c r="A159" s="149"/>
      <c r="B159" s="149"/>
      <c r="C159" s="149"/>
      <c r="D159" s="149"/>
      <c r="E159" s="149"/>
      <c r="F159" s="149"/>
      <c r="G159" s="149"/>
    </row>
    <row r="160">
      <c r="A160" s="149"/>
      <c r="B160" s="149"/>
      <c r="C160" s="149"/>
      <c r="D160" s="149"/>
      <c r="E160" s="149"/>
      <c r="F160" s="149"/>
      <c r="G160" s="149"/>
    </row>
    <row r="161">
      <c r="A161" s="149"/>
      <c r="B161" s="149"/>
      <c r="C161" s="149"/>
      <c r="D161" s="149"/>
      <c r="E161" s="149"/>
      <c r="F161" s="149"/>
      <c r="G161" s="149"/>
    </row>
    <row r="162">
      <c r="A162" s="149"/>
      <c r="B162" s="149"/>
      <c r="C162" s="149"/>
      <c r="D162" s="149"/>
      <c r="E162" s="149"/>
      <c r="F162" s="149"/>
      <c r="G162" s="149"/>
    </row>
    <row r="163">
      <c r="A163" s="149"/>
      <c r="B163" s="149"/>
      <c r="C163" s="149"/>
      <c r="D163" s="149"/>
      <c r="E163" s="149"/>
      <c r="F163" s="149"/>
      <c r="G163" s="149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</sheetData>
  <mergeCells count="13">
    <mergeCell ref="B88:E88"/>
    <mergeCell ref="B127:E127"/>
    <mergeCell ref="B128:E128"/>
    <mergeCell ref="B134:E134"/>
    <mergeCell ref="B135:E135"/>
    <mergeCell ref="A144:A146"/>
    <mergeCell ref="B34:E34"/>
    <mergeCell ref="B35:E35"/>
    <mergeCell ref="B41:E41"/>
    <mergeCell ref="B42:E42"/>
    <mergeCell ref="B80:E80"/>
    <mergeCell ref="B81:E81"/>
    <mergeCell ref="B87:E87"/>
  </mergeCells>
  <conditionalFormatting sqref="A34 A80">
    <cfRule type="notContainsBlanks" dxfId="0" priority="1">
      <formula>LEN(TRIM(A34))&gt;0</formula>
    </cfRule>
  </conditionalFormatting>
  <dataValidations>
    <dataValidation type="list" allowBlank="1" showErrorMessage="1" sqref="B8 B54 B101">
      <formula1>"3,4,5,6"</formula1>
    </dataValidation>
    <dataValidation type="list" allowBlank="1" showErrorMessage="1" sqref="B96">
      <formula1>Definitions!$J$21:$J$23</formula1>
    </dataValidation>
    <dataValidation type="list" allowBlank="1" showErrorMessage="1" sqref="A36 A82 A129">
      <formula1>Input!$I$34:$I$39</formula1>
    </dataValidation>
    <dataValidation type="list" allowBlank="1" sqref="A42 A88 A135">
      <formula1>Input!$H$41:$H$47</formula1>
    </dataValidation>
    <dataValidation type="list" allowBlank="1" showErrorMessage="1" sqref="B4 B50 B97">
      <formula1>"prep,peak"</formula1>
    </dataValidation>
    <dataValidation type="list" allowBlank="1" showErrorMessage="1" sqref="C144:F144 B145:F146">
      <formula1>Definitions!$A$44:$A$53</formula1>
    </dataValidation>
    <dataValidation type="list" allowBlank="1" showErrorMessage="1" sqref="A34 A41 A80 A87 A127 A134">
      <formula1>"2,3,4,5"</formula1>
    </dataValidation>
    <dataValidation type="list" allowBlank="1" sqref="A35 A81 A128">
      <formula1>Input!$H$34:$H$40</formula1>
    </dataValidation>
    <dataValidation type="list" allowBlank="1" showErrorMessage="1" sqref="A43 A89 A136">
      <formula1>Input!$I$41:$I$45</formula1>
    </dataValidation>
    <dataValidation type="list" allowBlank="1" showErrorMessage="1" sqref="B21:B22 B67:B68 B114:B115">
      <formula1>Definitions!$A$3:$A$21</formula1>
    </dataValidation>
    <dataValidation type="list" allowBlank="1" showErrorMessage="1" sqref="B3 B49 B95">
      <formula1>"squat,bench press,deadlift,press,pull up,ktb press"</formula1>
    </dataValidation>
    <dataValidation type="list" allowBlank="1" showErrorMessage="1" sqref="B144">
      <formula1>"SQ 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6.0"/>
    <col customWidth="1" min="4" max="4" width="11.25"/>
    <col customWidth="1" min="5" max="5" width="6.0"/>
    <col customWidth="1" min="6" max="6" width="7.0"/>
    <col customWidth="1" min="7" max="7" width="9.75"/>
    <col customWidth="1" min="8" max="8" width="6.5"/>
    <col customWidth="1" min="9" max="9" width="8.88"/>
    <col customWidth="1" min="10" max="10" width="6.5"/>
    <col customWidth="1" min="11" max="11" width="10.0"/>
    <col customWidth="1" min="12" max="12" width="6.5"/>
    <col customWidth="1" min="13" max="13" width="7.0"/>
    <col customWidth="1" min="14" max="47" width="3.5"/>
  </cols>
  <sheetData>
    <row r="1">
      <c r="A1" s="151" t="s">
        <v>0</v>
      </c>
      <c r="B1" s="62"/>
      <c r="C1" s="62"/>
      <c r="D1" s="62"/>
      <c r="E1" s="62"/>
      <c r="F1" s="63"/>
      <c r="G1" s="152" t="s">
        <v>79</v>
      </c>
      <c r="H1" s="62"/>
      <c r="I1" s="62"/>
      <c r="J1" s="62"/>
      <c r="K1" s="62"/>
      <c r="L1" s="63"/>
      <c r="M1" s="153"/>
      <c r="N1" s="153" t="s">
        <v>6</v>
      </c>
      <c r="O1" s="62"/>
      <c r="P1" s="152" t="s">
        <v>80</v>
      </c>
      <c r="Q1" s="62"/>
      <c r="R1" s="152" t="s">
        <v>81</v>
      </c>
      <c r="S1" s="62"/>
      <c r="T1" s="152" t="s">
        <v>82</v>
      </c>
      <c r="U1" s="62"/>
      <c r="V1" s="152" t="s">
        <v>83</v>
      </c>
      <c r="W1" s="62"/>
      <c r="X1" s="63"/>
      <c r="Y1" s="152" t="s">
        <v>32</v>
      </c>
      <c r="Z1" s="63"/>
      <c r="AA1" s="152" t="s">
        <v>84</v>
      </c>
      <c r="AB1" s="63"/>
      <c r="AC1" s="152">
        <v>8190.0</v>
      </c>
      <c r="AD1" s="63"/>
      <c r="AE1" s="154"/>
      <c r="AF1" s="154"/>
      <c r="AG1" s="154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</row>
    <row r="2">
      <c r="A2" s="156" t="str">
        <f>Input!B2</f>
        <v>Kateřina Balášová</v>
      </c>
      <c r="B2" s="62"/>
      <c r="C2" s="62"/>
      <c r="D2" s="62"/>
      <c r="E2" s="62"/>
      <c r="F2" s="63"/>
      <c r="G2" s="157" t="str">
        <f>Input!B3</f>
        <v>squat</v>
      </c>
      <c r="H2" s="62"/>
      <c r="I2" s="62"/>
      <c r="J2" s="62"/>
      <c r="K2" s="62"/>
      <c r="L2" s="63"/>
      <c r="M2" s="157"/>
      <c r="N2" s="158">
        <f>Input!B5</f>
        <v>140</v>
      </c>
      <c r="O2" s="62"/>
      <c r="P2" s="159">
        <f>Input!B6</f>
        <v>2.5</v>
      </c>
      <c r="Q2" s="62"/>
      <c r="R2" s="157" t="str">
        <f>Input!B4</f>
        <v>prep</v>
      </c>
      <c r="S2" s="62"/>
      <c r="T2" s="157">
        <f>Input!B9</f>
        <v>220</v>
      </c>
      <c r="U2" s="62"/>
      <c r="V2" s="157">
        <f>Input!E16+Input!E17</f>
        <v>3</v>
      </c>
      <c r="W2" s="62"/>
      <c r="X2" s="63"/>
      <c r="Y2" s="160">
        <f>Input!B19</f>
        <v>0.7303246753</v>
      </c>
      <c r="Z2" s="63"/>
      <c r="AA2" s="157" t="str">
        <f>Input!B21</f>
        <v>3a</v>
      </c>
      <c r="AB2" s="63"/>
      <c r="AC2" s="157" t="str">
        <f>Input!B22</f>
        <v>2a</v>
      </c>
      <c r="AD2" s="63"/>
      <c r="AE2" s="154"/>
      <c r="AF2" s="154"/>
      <c r="AG2" s="154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</row>
    <row r="3">
      <c r="A3" s="155"/>
      <c r="B3" s="155"/>
      <c r="C3" s="67"/>
      <c r="D3" s="67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</row>
    <row r="4">
      <c r="A4" s="161" t="s">
        <v>85</v>
      </c>
      <c r="B4" s="162"/>
      <c r="C4" s="162"/>
      <c r="D4" s="163"/>
      <c r="E4" s="164" t="s">
        <v>86</v>
      </c>
      <c r="F4" s="62"/>
      <c r="G4" s="62"/>
      <c r="H4" s="62"/>
      <c r="I4" s="62"/>
      <c r="J4" s="62"/>
      <c r="K4" s="62"/>
      <c r="L4" s="62"/>
      <c r="M4" s="63"/>
      <c r="N4" s="164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3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</row>
    <row r="5">
      <c r="A5" s="165"/>
      <c r="D5" s="166"/>
      <c r="E5" s="167" t="s">
        <v>87</v>
      </c>
      <c r="F5" s="162"/>
      <c r="G5" s="162"/>
      <c r="H5" s="162"/>
      <c r="I5" s="162"/>
      <c r="J5" s="162"/>
      <c r="K5" s="162"/>
      <c r="L5" s="163"/>
      <c r="M5" s="168"/>
      <c r="N5" s="156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3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</row>
    <row r="6">
      <c r="A6" s="165"/>
      <c r="D6" s="166"/>
      <c r="E6" s="169" t="s">
        <v>88</v>
      </c>
      <c r="F6" s="62"/>
      <c r="G6" s="62"/>
      <c r="H6" s="62"/>
      <c r="I6" s="62"/>
      <c r="J6" s="62"/>
      <c r="K6" s="62"/>
      <c r="L6" s="63"/>
      <c r="M6" s="170"/>
      <c r="N6" s="156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3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</row>
    <row r="7">
      <c r="A7" s="171"/>
      <c r="B7" s="137"/>
      <c r="C7" s="137"/>
      <c r="D7" s="138"/>
      <c r="E7" s="172"/>
      <c r="F7" s="137"/>
      <c r="G7" s="137"/>
      <c r="H7" s="137"/>
      <c r="I7" s="137"/>
      <c r="J7" s="137"/>
      <c r="K7" s="137"/>
      <c r="L7" s="138"/>
      <c r="M7" s="173"/>
      <c r="N7" s="156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3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</row>
    <row r="8">
      <c r="A8" s="155"/>
      <c r="B8" s="155"/>
      <c r="C8" s="67"/>
      <c r="D8" s="67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</row>
    <row r="9">
      <c r="A9" s="174" t="s">
        <v>89</v>
      </c>
      <c r="B9" s="175"/>
      <c r="C9" s="176"/>
      <c r="D9" s="174" t="s">
        <v>90</v>
      </c>
      <c r="E9" s="176"/>
      <c r="F9" s="176"/>
      <c r="G9" s="176"/>
      <c r="H9" s="174" t="s">
        <v>91</v>
      </c>
      <c r="I9" s="177"/>
      <c r="J9" s="174" t="s">
        <v>91</v>
      </c>
      <c r="K9" s="177"/>
      <c r="L9" s="174" t="s">
        <v>91</v>
      </c>
      <c r="M9" s="174" t="s">
        <v>92</v>
      </c>
      <c r="N9" s="178" t="s">
        <v>93</v>
      </c>
      <c r="O9" s="62"/>
      <c r="P9" s="62"/>
      <c r="Q9" s="62"/>
      <c r="R9" s="62"/>
      <c r="S9" s="62"/>
      <c r="T9" s="62"/>
      <c r="U9" s="62"/>
      <c r="V9" s="62"/>
      <c r="W9" s="63"/>
      <c r="X9" s="174"/>
      <c r="Y9" s="178" t="s">
        <v>94</v>
      </c>
      <c r="Z9" s="62"/>
      <c r="AA9" s="62"/>
      <c r="AB9" s="62"/>
      <c r="AC9" s="62"/>
      <c r="AD9" s="62"/>
      <c r="AE9" s="62"/>
      <c r="AF9" s="62"/>
      <c r="AG9" s="62"/>
      <c r="AH9" s="63"/>
      <c r="AI9" s="174"/>
      <c r="AJ9" s="178" t="s">
        <v>95</v>
      </c>
      <c r="AK9" s="62"/>
      <c r="AL9" s="62"/>
      <c r="AM9" s="62"/>
      <c r="AN9" s="62"/>
      <c r="AO9" s="62"/>
      <c r="AP9" s="62"/>
      <c r="AQ9" s="62"/>
      <c r="AR9" s="62"/>
      <c r="AS9" s="63"/>
      <c r="AT9" s="179"/>
      <c r="AU9" s="180"/>
    </row>
    <row r="10">
      <c r="A10" s="181"/>
      <c r="B10" s="175"/>
      <c r="C10" s="177"/>
      <c r="D10" s="181"/>
      <c r="E10" s="177"/>
      <c r="F10" s="182"/>
      <c r="G10" s="182"/>
      <c r="H10" s="181"/>
      <c r="I10" s="177"/>
      <c r="J10" s="181"/>
      <c r="K10" s="177"/>
      <c r="L10" s="181"/>
      <c r="M10" s="181"/>
      <c r="N10" s="183" t="s">
        <v>96</v>
      </c>
      <c r="O10" s="162"/>
      <c r="P10" s="162"/>
      <c r="Q10" s="162"/>
      <c r="R10" s="162"/>
      <c r="S10" s="162"/>
      <c r="T10" s="162"/>
      <c r="U10" s="162"/>
      <c r="V10" s="162"/>
      <c r="W10" s="163"/>
      <c r="X10" s="181"/>
      <c r="Y10" s="183" t="s">
        <v>96</v>
      </c>
      <c r="Z10" s="162"/>
      <c r="AA10" s="162"/>
      <c r="AB10" s="162"/>
      <c r="AC10" s="162"/>
      <c r="AD10" s="162"/>
      <c r="AE10" s="162"/>
      <c r="AF10" s="162"/>
      <c r="AG10" s="162"/>
      <c r="AH10" s="163"/>
      <c r="AI10" s="181"/>
      <c r="AJ10" s="183" t="s">
        <v>96</v>
      </c>
      <c r="AK10" s="162"/>
      <c r="AL10" s="162"/>
      <c r="AM10" s="162"/>
      <c r="AN10" s="162"/>
      <c r="AO10" s="162"/>
      <c r="AP10" s="162"/>
      <c r="AQ10" s="162"/>
      <c r="AR10" s="162"/>
      <c r="AS10" s="163"/>
      <c r="AT10" s="184"/>
      <c r="AU10" s="180"/>
    </row>
    <row r="11">
      <c r="A11" s="185"/>
      <c r="B11" s="186" t="s">
        <v>79</v>
      </c>
      <c r="C11" s="186" t="s">
        <v>97</v>
      </c>
      <c r="D11" s="185"/>
      <c r="E11" s="186" t="s">
        <v>38</v>
      </c>
      <c r="F11" s="186" t="s">
        <v>98</v>
      </c>
      <c r="G11" s="178" t="s">
        <v>99</v>
      </c>
      <c r="H11" s="185"/>
      <c r="I11" s="183" t="s">
        <v>99</v>
      </c>
      <c r="J11" s="185"/>
      <c r="K11" s="183" t="s">
        <v>99</v>
      </c>
      <c r="L11" s="185"/>
      <c r="M11" s="185"/>
      <c r="N11" s="178" t="s">
        <v>100</v>
      </c>
      <c r="O11" s="187" t="s">
        <v>101</v>
      </c>
      <c r="P11" s="187" t="s">
        <v>102</v>
      </c>
      <c r="Q11" s="187" t="s">
        <v>103</v>
      </c>
      <c r="R11" s="187" t="s">
        <v>104</v>
      </c>
      <c r="S11" s="187" t="s">
        <v>105</v>
      </c>
      <c r="T11" s="187" t="s">
        <v>106</v>
      </c>
      <c r="U11" s="187" t="s">
        <v>107</v>
      </c>
      <c r="V11" s="187" t="s">
        <v>108</v>
      </c>
      <c r="W11" s="188" t="s">
        <v>109</v>
      </c>
      <c r="X11" s="185"/>
      <c r="Y11" s="178" t="s">
        <v>100</v>
      </c>
      <c r="Z11" s="187" t="s">
        <v>101</v>
      </c>
      <c r="AA11" s="187" t="s">
        <v>102</v>
      </c>
      <c r="AB11" s="187" t="s">
        <v>103</v>
      </c>
      <c r="AC11" s="187" t="s">
        <v>104</v>
      </c>
      <c r="AD11" s="187" t="s">
        <v>105</v>
      </c>
      <c r="AE11" s="187" t="s">
        <v>106</v>
      </c>
      <c r="AF11" s="187" t="s">
        <v>107</v>
      </c>
      <c r="AG11" s="187" t="s">
        <v>108</v>
      </c>
      <c r="AH11" s="188" t="s">
        <v>109</v>
      </c>
      <c r="AI11" s="185"/>
      <c r="AJ11" s="178" t="s">
        <v>100</v>
      </c>
      <c r="AK11" s="187" t="s">
        <v>101</v>
      </c>
      <c r="AL11" s="187" t="s">
        <v>102</v>
      </c>
      <c r="AM11" s="187" t="s">
        <v>103</v>
      </c>
      <c r="AN11" s="187" t="s">
        <v>104</v>
      </c>
      <c r="AO11" s="187" t="s">
        <v>105</v>
      </c>
      <c r="AP11" s="187" t="s">
        <v>106</v>
      </c>
      <c r="AQ11" s="187" t="s">
        <v>107</v>
      </c>
      <c r="AR11" s="187" t="s">
        <v>108</v>
      </c>
      <c r="AS11" s="188" t="s">
        <v>109</v>
      </c>
      <c r="AT11" s="189"/>
      <c r="AU11" s="180"/>
    </row>
    <row r="12">
      <c r="A12" s="190">
        <v>1.0</v>
      </c>
      <c r="B12" s="191" t="str">
        <f>Input!$B$3</f>
        <v>squat</v>
      </c>
      <c r="C12" s="192">
        <f>Input!C13</f>
        <v>0.6428571429</v>
      </c>
      <c r="D12" s="193">
        <f>Input!B13</f>
        <v>90</v>
      </c>
      <c r="E12" s="194">
        <f>Input!B27</f>
        <v>14</v>
      </c>
      <c r="F12" s="195">
        <v>45477.0</v>
      </c>
      <c r="G12" s="196">
        <v>0.9</v>
      </c>
      <c r="H12" s="197">
        <f>MROUND($D12*G12,Input!$B$6)</f>
        <v>80</v>
      </c>
      <c r="I12" s="198">
        <v>0.9</v>
      </c>
      <c r="J12" s="199">
        <f>MROUND($D12*I12,Input!$B$6)</f>
        <v>80</v>
      </c>
      <c r="K12" s="200"/>
      <c r="L12" s="201"/>
      <c r="M12" s="202" t="str">
        <f>Input!I13</f>
        <v>± 2,5kg</v>
      </c>
      <c r="N12" s="180">
        <v>5.0</v>
      </c>
      <c r="O12" s="180"/>
      <c r="P12" s="180"/>
      <c r="Q12" s="180"/>
      <c r="R12" s="180"/>
      <c r="S12" s="176"/>
      <c r="T12" s="176"/>
      <c r="U12" s="176"/>
      <c r="V12" s="176"/>
      <c r="W12" s="176"/>
      <c r="X12" s="179">
        <f>SUM(N12:W16)</f>
        <v>9</v>
      </c>
      <c r="Y12" s="203">
        <v>5.0</v>
      </c>
      <c r="Z12" s="204"/>
      <c r="AA12" s="204"/>
      <c r="AB12" s="205"/>
      <c r="AC12" s="204"/>
      <c r="AD12" s="205"/>
      <c r="AE12" s="205"/>
      <c r="AF12" s="204"/>
      <c r="AG12" s="204"/>
      <c r="AH12" s="204"/>
      <c r="AI12" s="179">
        <f>SUM(Y12:AH16)</f>
        <v>17</v>
      </c>
      <c r="AJ12" s="203">
        <v>4.0</v>
      </c>
      <c r="AK12" s="204"/>
      <c r="AL12" s="204"/>
      <c r="AM12" s="204"/>
      <c r="AN12" s="204"/>
      <c r="AO12" s="204"/>
      <c r="AP12" s="204"/>
      <c r="AQ12" s="204"/>
      <c r="AR12" s="204"/>
      <c r="AS12" s="204"/>
      <c r="AT12" s="179">
        <f>SUM(AJ12:AS16)</f>
        <v>11</v>
      </c>
      <c r="AU12" s="180">
        <f t="shared" ref="AU12:AU16" si="1">E12-SUM(N12:W12)-SUM(Y12:AH12)-SUM(AJ12:AS12)</f>
        <v>0</v>
      </c>
    </row>
    <row r="13">
      <c r="A13" s="181"/>
      <c r="B13" s="165"/>
      <c r="C13" s="206">
        <f>Input!C14</f>
        <v>0.75</v>
      </c>
      <c r="D13" s="193">
        <f>Input!B14</f>
        <v>105</v>
      </c>
      <c r="E13" s="207">
        <f>Input!B28</f>
        <v>16</v>
      </c>
      <c r="F13" s="208">
        <v>45446.0</v>
      </c>
      <c r="G13" s="196">
        <v>0.9</v>
      </c>
      <c r="H13" s="197">
        <f>MROUND($D13*G13,Input!$B$6)</f>
        <v>95</v>
      </c>
      <c r="I13" s="198">
        <v>0.9</v>
      </c>
      <c r="J13" s="199">
        <f>MROUND($D13*I13,Input!$B$6)</f>
        <v>95</v>
      </c>
      <c r="K13" s="209"/>
      <c r="L13" s="210"/>
      <c r="M13" s="211" t="str">
        <f>Input!I14</f>
        <v>± 2,5kg</v>
      </c>
      <c r="N13" s="176"/>
      <c r="O13" s="180">
        <v>4.0</v>
      </c>
      <c r="P13" s="180"/>
      <c r="Q13" s="180"/>
      <c r="R13" s="176"/>
      <c r="S13" s="176"/>
      <c r="T13" s="176"/>
      <c r="U13" s="176"/>
      <c r="V13" s="176"/>
      <c r="W13" s="176"/>
      <c r="X13" s="181"/>
      <c r="Y13" s="204"/>
      <c r="Z13" s="203">
        <v>4.0</v>
      </c>
      <c r="AA13" s="205"/>
      <c r="AB13" s="205"/>
      <c r="AC13" s="203">
        <v>4.0</v>
      </c>
      <c r="AD13" s="205"/>
      <c r="AE13" s="205"/>
      <c r="AF13" s="204"/>
      <c r="AG13" s="204"/>
      <c r="AH13" s="204"/>
      <c r="AI13" s="181"/>
      <c r="AJ13" s="204"/>
      <c r="AK13" s="203">
        <v>4.0</v>
      </c>
      <c r="AL13" s="205"/>
      <c r="AM13" s="205"/>
      <c r="AN13" s="205"/>
      <c r="AO13" s="204"/>
      <c r="AP13" s="204"/>
      <c r="AQ13" s="204"/>
      <c r="AR13" s="204"/>
      <c r="AS13" s="204"/>
      <c r="AT13" s="181"/>
      <c r="AU13" s="180">
        <f t="shared" si="1"/>
        <v>0</v>
      </c>
    </row>
    <row r="14">
      <c r="A14" s="181"/>
      <c r="B14" s="165"/>
      <c r="C14" s="206">
        <f>Input!C15</f>
        <v>0.8571428571</v>
      </c>
      <c r="D14" s="193">
        <f>Input!B15</f>
        <v>120</v>
      </c>
      <c r="E14" s="207">
        <f>Input!B29</f>
        <v>7</v>
      </c>
      <c r="F14" s="212">
        <v>45384.0</v>
      </c>
      <c r="G14" s="196">
        <v>0.9</v>
      </c>
      <c r="H14" s="197">
        <f>MROUND($D14*G14,Input!$B$6)</f>
        <v>107.5</v>
      </c>
      <c r="I14" s="198">
        <v>0.9</v>
      </c>
      <c r="J14" s="199">
        <f>MROUND($D14*I14,Input!$B$6)</f>
        <v>107.5</v>
      </c>
      <c r="K14" s="209"/>
      <c r="L14" s="210"/>
      <c r="M14" s="211" t="str">
        <f>Input!I15</f>
        <v>± 2,5kg</v>
      </c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81"/>
      <c r="Y14" s="204"/>
      <c r="Z14" s="204"/>
      <c r="AA14" s="203">
        <v>2.0</v>
      </c>
      <c r="AB14" s="203">
        <v>2.0</v>
      </c>
      <c r="AC14" s="205"/>
      <c r="AD14" s="204"/>
      <c r="AE14" s="204"/>
      <c r="AF14" s="204"/>
      <c r="AG14" s="204"/>
      <c r="AH14" s="204"/>
      <c r="AI14" s="181"/>
      <c r="AJ14" s="204"/>
      <c r="AK14" s="204"/>
      <c r="AL14" s="203">
        <v>3.0</v>
      </c>
      <c r="AM14" s="204"/>
      <c r="AN14" s="205"/>
      <c r="AO14" s="204"/>
      <c r="AP14" s="204"/>
      <c r="AQ14" s="204"/>
      <c r="AR14" s="204"/>
      <c r="AS14" s="204"/>
      <c r="AT14" s="181"/>
      <c r="AU14" s="180">
        <f t="shared" si="1"/>
        <v>0</v>
      </c>
    </row>
    <row r="15">
      <c r="A15" s="181"/>
      <c r="B15" s="165"/>
      <c r="C15" s="206">
        <f>Input!C16</f>
        <v>0.9285714286</v>
      </c>
      <c r="D15" s="193">
        <f>Input!B16</f>
        <v>130</v>
      </c>
      <c r="E15" s="207">
        <f>Input!B30</f>
        <v>0</v>
      </c>
      <c r="F15" s="24">
        <v>1.0</v>
      </c>
      <c r="G15" s="176"/>
      <c r="H15" s="176"/>
      <c r="I15" s="209"/>
      <c r="J15" s="176"/>
      <c r="K15" s="209"/>
      <c r="L15" s="210"/>
      <c r="M15" s="211" t="str">
        <f>Input!I16</f>
        <v>± 5kg</v>
      </c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81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181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181"/>
      <c r="AU15" s="180">
        <f t="shared" si="1"/>
        <v>0</v>
      </c>
    </row>
    <row r="16">
      <c r="A16" s="181"/>
      <c r="B16" s="165"/>
      <c r="C16" s="213">
        <f>Input!C17</f>
        <v>0.9642857143</v>
      </c>
      <c r="D16" s="193">
        <f>Input!B17</f>
        <v>135</v>
      </c>
      <c r="E16" s="214">
        <f>Input!B31</f>
        <v>0</v>
      </c>
      <c r="F16" s="33">
        <v>1.0</v>
      </c>
      <c r="G16" s="215"/>
      <c r="H16" s="215"/>
      <c r="I16" s="216"/>
      <c r="J16" s="215"/>
      <c r="K16" s="198"/>
      <c r="L16" s="217"/>
      <c r="M16" s="218" t="str">
        <f>Input!I17</f>
        <v>± 5kg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85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185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185"/>
      <c r="AU16" s="180">
        <f t="shared" si="1"/>
        <v>0</v>
      </c>
    </row>
    <row r="17">
      <c r="A17" s="181"/>
      <c r="B17" s="165"/>
      <c r="C17" s="219" t="s">
        <v>110</v>
      </c>
      <c r="D17" s="162"/>
      <c r="E17" s="162"/>
      <c r="F17" s="162"/>
      <c r="G17" s="162"/>
      <c r="H17" s="162"/>
      <c r="I17" s="162"/>
      <c r="J17" s="162"/>
      <c r="K17" s="162"/>
      <c r="L17" s="163"/>
      <c r="M17" s="219"/>
      <c r="N17" s="220"/>
      <c r="O17" s="221"/>
      <c r="P17" s="221"/>
      <c r="Q17" s="221"/>
      <c r="R17" s="221"/>
      <c r="S17" s="221"/>
      <c r="T17" s="221"/>
      <c r="U17" s="221"/>
      <c r="V17" s="221"/>
      <c r="W17" s="222"/>
      <c r="X17" s="223">
        <f>Input!B37</f>
        <v>9</v>
      </c>
      <c r="Y17" s="224"/>
      <c r="Z17" s="225"/>
      <c r="AA17" s="225"/>
      <c r="AB17" s="225"/>
      <c r="AC17" s="225"/>
      <c r="AD17" s="225"/>
      <c r="AE17" s="225"/>
      <c r="AF17" s="225"/>
      <c r="AG17" s="225"/>
      <c r="AH17" s="226"/>
      <c r="AI17" s="227">
        <f>Input!B38</f>
        <v>16</v>
      </c>
      <c r="AJ17" s="224"/>
      <c r="AK17" s="225"/>
      <c r="AL17" s="225"/>
      <c r="AM17" s="225"/>
      <c r="AN17" s="225"/>
      <c r="AO17" s="225"/>
      <c r="AP17" s="225"/>
      <c r="AQ17" s="225"/>
      <c r="AR17" s="225"/>
      <c r="AS17" s="226"/>
      <c r="AT17" s="227">
        <f>Input!B39</f>
        <v>12</v>
      </c>
      <c r="AU17" s="180"/>
    </row>
    <row r="18">
      <c r="A18" s="185"/>
      <c r="B18" s="171"/>
      <c r="C18" s="171"/>
      <c r="D18" s="137"/>
      <c r="E18" s="137"/>
      <c r="F18" s="137"/>
      <c r="G18" s="137"/>
      <c r="H18" s="137"/>
      <c r="I18" s="137"/>
      <c r="J18" s="137"/>
      <c r="K18" s="137"/>
      <c r="L18" s="138"/>
      <c r="M18" s="228"/>
      <c r="N18" s="216"/>
      <c r="O18" s="215"/>
      <c r="P18" s="215"/>
      <c r="Q18" s="215"/>
      <c r="R18" s="215"/>
      <c r="S18" s="215"/>
      <c r="T18" s="215"/>
      <c r="U18" s="215"/>
      <c r="V18" s="215"/>
      <c r="W18" s="217"/>
      <c r="X18" s="229">
        <f>Input!B44</f>
        <v>15</v>
      </c>
      <c r="Y18" s="230"/>
      <c r="Z18" s="231"/>
      <c r="AA18" s="231"/>
      <c r="AB18" s="231"/>
      <c r="AC18" s="231"/>
      <c r="AD18" s="231"/>
      <c r="AE18" s="231"/>
      <c r="AF18" s="231"/>
      <c r="AG18" s="231"/>
      <c r="AH18" s="232"/>
      <c r="AI18" s="233">
        <f>Input!B45</f>
        <v>22</v>
      </c>
      <c r="AJ18" s="230"/>
      <c r="AK18" s="231"/>
      <c r="AL18" s="231"/>
      <c r="AM18" s="231"/>
      <c r="AN18" s="231"/>
      <c r="AO18" s="231"/>
      <c r="AP18" s="231"/>
      <c r="AQ18" s="231"/>
      <c r="AR18" s="231"/>
      <c r="AS18" s="232"/>
      <c r="AT18" s="233">
        <f>Input!B46</f>
        <v>0</v>
      </c>
      <c r="AU18" s="180"/>
    </row>
    <row r="19">
      <c r="A19" s="234">
        <v>2.0</v>
      </c>
      <c r="B19" s="191" t="str">
        <f>Input!$B$3</f>
        <v>squat</v>
      </c>
      <c r="C19" s="235">
        <f>Input!C13</f>
        <v>0.6428571429</v>
      </c>
      <c r="D19" s="236">
        <f>Input!B13</f>
        <v>90</v>
      </c>
      <c r="E19" s="237">
        <f>Input!C27</f>
        <v>19</v>
      </c>
      <c r="F19" s="195">
        <v>45477.0</v>
      </c>
      <c r="G19" s="196">
        <v>0.9</v>
      </c>
      <c r="H19" s="197">
        <f>MROUND($D19*G19,Input!$B$6)</f>
        <v>80</v>
      </c>
      <c r="I19" s="198">
        <v>0.9</v>
      </c>
      <c r="J19" s="199">
        <f>MROUND($D19*I19,Input!$B$6)</f>
        <v>80</v>
      </c>
      <c r="K19" s="220"/>
      <c r="L19" s="222"/>
      <c r="M19" s="194" t="str">
        <f t="shared" ref="M19:M23" si="2">M12</f>
        <v>± 2,5kg</v>
      </c>
      <c r="N19" s="238">
        <v>5.0</v>
      </c>
      <c r="O19" s="238">
        <v>5.0</v>
      </c>
      <c r="P19" s="180"/>
      <c r="Q19" s="180"/>
      <c r="R19" s="180"/>
      <c r="S19" s="176"/>
      <c r="T19" s="176"/>
      <c r="U19" s="176"/>
      <c r="V19" s="176"/>
      <c r="W19" s="176"/>
      <c r="X19" s="179">
        <f>SUM(N19:W23)</f>
        <v>12</v>
      </c>
      <c r="Y19" s="239">
        <v>5.0</v>
      </c>
      <c r="Z19" s="204"/>
      <c r="AA19" s="204"/>
      <c r="AB19" s="203"/>
      <c r="AC19" s="204"/>
      <c r="AD19" s="204"/>
      <c r="AE19" s="205"/>
      <c r="AF19" s="204"/>
      <c r="AG19" s="204"/>
      <c r="AH19" s="204"/>
      <c r="AI19" s="179">
        <f>SUM(Y19:AH23)</f>
        <v>20</v>
      </c>
      <c r="AJ19" s="203">
        <v>4.0</v>
      </c>
      <c r="AK19" s="204"/>
      <c r="AL19" s="204"/>
      <c r="AM19" s="204"/>
      <c r="AN19" s="203"/>
      <c r="AO19" s="204"/>
      <c r="AP19" s="205"/>
      <c r="AQ19" s="204"/>
      <c r="AR19" s="204"/>
      <c r="AS19" s="204"/>
      <c r="AT19" s="179">
        <f>SUM(AJ19:AS23)</f>
        <v>16</v>
      </c>
      <c r="AU19" s="180">
        <f t="shared" ref="AU19:AU23" si="3">E19-SUM(N19:W19)-SUM(Y19:AH19)-SUM(AJ19:AS19)</f>
        <v>0</v>
      </c>
    </row>
    <row r="20">
      <c r="A20" s="181"/>
      <c r="B20" s="165"/>
      <c r="C20" s="240">
        <f>Input!C14</f>
        <v>0.75</v>
      </c>
      <c r="D20" s="236">
        <f>Input!B14</f>
        <v>105</v>
      </c>
      <c r="E20" s="241">
        <f>Input!C28</f>
        <v>15</v>
      </c>
      <c r="F20" s="208">
        <v>45446.0</v>
      </c>
      <c r="G20" s="196">
        <v>0.9</v>
      </c>
      <c r="H20" s="197">
        <f>MROUND($D20*G20,Input!$B$6)</f>
        <v>95</v>
      </c>
      <c r="I20" s="198">
        <v>0.9</v>
      </c>
      <c r="J20" s="199">
        <f>MROUND($D20*I20,Input!$B$6)</f>
        <v>95</v>
      </c>
      <c r="K20" s="242"/>
      <c r="L20" s="210"/>
      <c r="M20" s="207" t="str">
        <f t="shared" si="2"/>
        <v>± 2,5kg</v>
      </c>
      <c r="N20" s="176"/>
      <c r="O20" s="243"/>
      <c r="P20" s="238">
        <v>2.0</v>
      </c>
      <c r="Q20" s="180"/>
      <c r="R20" s="180"/>
      <c r="S20" s="176"/>
      <c r="T20" s="176"/>
      <c r="U20" s="176"/>
      <c r="V20" s="176"/>
      <c r="W20" s="176"/>
      <c r="X20" s="181"/>
      <c r="Y20" s="204"/>
      <c r="Z20" s="239">
        <v>4.0</v>
      </c>
      <c r="AA20" s="204"/>
      <c r="AB20" s="205"/>
      <c r="AC20" s="239">
        <v>3.0</v>
      </c>
      <c r="AD20" s="205"/>
      <c r="AE20" s="205"/>
      <c r="AF20" s="205"/>
      <c r="AG20" s="204"/>
      <c r="AH20" s="204"/>
      <c r="AI20" s="181"/>
      <c r="AJ20" s="204"/>
      <c r="AK20" s="203">
        <v>3.0</v>
      </c>
      <c r="AL20" s="204"/>
      <c r="AM20" s="205"/>
      <c r="AN20" s="203">
        <v>3.0</v>
      </c>
      <c r="AO20" s="205"/>
      <c r="AP20" s="205"/>
      <c r="AQ20" s="204"/>
      <c r="AR20" s="204"/>
      <c r="AS20" s="204"/>
      <c r="AT20" s="181"/>
      <c r="AU20" s="180">
        <f t="shared" si="3"/>
        <v>0</v>
      </c>
    </row>
    <row r="21">
      <c r="A21" s="181"/>
      <c r="B21" s="165"/>
      <c r="C21" s="240">
        <f>Input!C15</f>
        <v>0.8571428571</v>
      </c>
      <c r="D21" s="236">
        <f>Input!B15</f>
        <v>120</v>
      </c>
      <c r="E21" s="241">
        <f>Input!C29</f>
        <v>13</v>
      </c>
      <c r="F21" s="212">
        <v>45384.0</v>
      </c>
      <c r="G21" s="196">
        <v>0.9</v>
      </c>
      <c r="H21" s="197">
        <f>MROUND($D21*G21,Input!$B$6)</f>
        <v>107.5</v>
      </c>
      <c r="I21" s="198">
        <v>0.9</v>
      </c>
      <c r="J21" s="199">
        <f>MROUND($D21*I21,Input!$B$6)</f>
        <v>107.5</v>
      </c>
      <c r="K21" s="209"/>
      <c r="L21" s="244"/>
      <c r="M21" s="207" t="str">
        <f t="shared" si="2"/>
        <v>± 2,5kg</v>
      </c>
      <c r="N21" s="176"/>
      <c r="O21" s="176"/>
      <c r="P21" s="180"/>
      <c r="Q21" s="176"/>
      <c r="R21" s="176"/>
      <c r="S21" s="176"/>
      <c r="T21" s="176"/>
      <c r="U21" s="176"/>
      <c r="V21" s="176"/>
      <c r="W21" s="176"/>
      <c r="X21" s="181"/>
      <c r="Y21" s="204"/>
      <c r="Z21" s="204"/>
      <c r="AA21" s="239">
        <v>4.0</v>
      </c>
      <c r="AB21" s="239">
        <v>4.0</v>
      </c>
      <c r="AC21" s="205"/>
      <c r="AD21" s="205"/>
      <c r="AE21" s="205"/>
      <c r="AF21" s="204"/>
      <c r="AG21" s="205"/>
      <c r="AH21" s="204"/>
      <c r="AI21" s="181"/>
      <c r="AJ21" s="204"/>
      <c r="AK21" s="204"/>
      <c r="AL21" s="203">
        <v>2.0</v>
      </c>
      <c r="AM21" s="205"/>
      <c r="AN21" s="205"/>
      <c r="AO21" s="203">
        <v>3.0</v>
      </c>
      <c r="AP21" s="204"/>
      <c r="AQ21" s="204"/>
      <c r="AR21" s="204"/>
      <c r="AS21" s="204"/>
      <c r="AT21" s="181"/>
      <c r="AU21" s="180">
        <f t="shared" si="3"/>
        <v>0</v>
      </c>
    </row>
    <row r="22">
      <c r="A22" s="181"/>
      <c r="B22" s="165"/>
      <c r="C22" s="240">
        <f>Input!C16</f>
        <v>0.9285714286</v>
      </c>
      <c r="D22" s="236">
        <f>Input!B16</f>
        <v>130</v>
      </c>
      <c r="E22" s="241">
        <f>Input!C30</f>
        <v>1</v>
      </c>
      <c r="F22" s="24">
        <v>1.0</v>
      </c>
      <c r="G22" s="176"/>
      <c r="H22" s="176"/>
      <c r="I22" s="209"/>
      <c r="J22" s="176"/>
      <c r="K22" s="209"/>
      <c r="L22" s="244"/>
      <c r="M22" s="207" t="str">
        <f t="shared" si="2"/>
        <v>± 5kg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81"/>
      <c r="Y22" s="204"/>
      <c r="Z22" s="204"/>
      <c r="AA22" s="204"/>
      <c r="AB22" s="205"/>
      <c r="AC22" s="204"/>
      <c r="AD22" s="205"/>
      <c r="AE22" s="204"/>
      <c r="AF22" s="204"/>
      <c r="AG22" s="204"/>
      <c r="AH22" s="204"/>
      <c r="AI22" s="181"/>
      <c r="AJ22" s="204"/>
      <c r="AK22" s="204"/>
      <c r="AL22" s="204"/>
      <c r="AM22" s="203">
        <v>1.0</v>
      </c>
      <c r="AN22" s="204"/>
      <c r="AO22" s="204"/>
      <c r="AP22" s="204"/>
      <c r="AQ22" s="204"/>
      <c r="AR22" s="204"/>
      <c r="AS22" s="204"/>
      <c r="AT22" s="181"/>
      <c r="AU22" s="180">
        <f t="shared" si="3"/>
        <v>0</v>
      </c>
    </row>
    <row r="23">
      <c r="A23" s="181"/>
      <c r="B23" s="165"/>
      <c r="C23" s="245">
        <f>Input!C17</f>
        <v>0.9642857143</v>
      </c>
      <c r="D23" s="236">
        <f>Input!B17</f>
        <v>135</v>
      </c>
      <c r="E23" s="246">
        <f>Input!C31</f>
        <v>0</v>
      </c>
      <c r="F23" s="33">
        <v>1.0</v>
      </c>
      <c r="G23" s="215"/>
      <c r="H23" s="215"/>
      <c r="I23" s="216"/>
      <c r="J23" s="215"/>
      <c r="K23" s="216"/>
      <c r="L23" s="217"/>
      <c r="M23" s="214" t="str">
        <f t="shared" si="2"/>
        <v>± 5kg</v>
      </c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185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185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185"/>
      <c r="AU23" s="180">
        <f t="shared" si="3"/>
        <v>0</v>
      </c>
    </row>
    <row r="24">
      <c r="A24" s="181"/>
      <c r="B24" s="165"/>
      <c r="C24" s="219" t="s">
        <v>110</v>
      </c>
      <c r="D24" s="162"/>
      <c r="E24" s="162"/>
      <c r="F24" s="162"/>
      <c r="G24" s="162"/>
      <c r="H24" s="162"/>
      <c r="I24" s="162"/>
      <c r="J24" s="162"/>
      <c r="K24" s="162"/>
      <c r="L24" s="163"/>
      <c r="M24" s="219"/>
      <c r="N24" s="220"/>
      <c r="O24" s="221"/>
      <c r="P24" s="221"/>
      <c r="Q24" s="221"/>
      <c r="R24" s="221"/>
      <c r="S24" s="221"/>
      <c r="T24" s="221"/>
      <c r="U24" s="221"/>
      <c r="V24" s="221"/>
      <c r="W24" s="222"/>
      <c r="X24" s="227">
        <f>Input!C37</f>
        <v>12</v>
      </c>
      <c r="Y24" s="224"/>
      <c r="Z24" s="225"/>
      <c r="AA24" s="225"/>
      <c r="AB24" s="225"/>
      <c r="AC24" s="225"/>
      <c r="AD24" s="225"/>
      <c r="AE24" s="225"/>
      <c r="AF24" s="225"/>
      <c r="AG24" s="225"/>
      <c r="AH24" s="226"/>
      <c r="AI24" s="227">
        <f>Input!C38</f>
        <v>20</v>
      </c>
      <c r="AJ24" s="224"/>
      <c r="AK24" s="225"/>
      <c r="AL24" s="225"/>
      <c r="AM24" s="225"/>
      <c r="AN24" s="225"/>
      <c r="AO24" s="225"/>
      <c r="AP24" s="225"/>
      <c r="AQ24" s="225"/>
      <c r="AR24" s="225"/>
      <c r="AS24" s="226"/>
      <c r="AT24" s="227">
        <f>Input!C39</f>
        <v>16</v>
      </c>
      <c r="AU24" s="180"/>
    </row>
    <row r="25">
      <c r="A25" s="185"/>
      <c r="B25" s="171"/>
      <c r="C25" s="171"/>
      <c r="D25" s="137"/>
      <c r="E25" s="137"/>
      <c r="F25" s="137"/>
      <c r="G25" s="137"/>
      <c r="H25" s="137"/>
      <c r="I25" s="137"/>
      <c r="J25" s="137"/>
      <c r="K25" s="137"/>
      <c r="L25" s="138"/>
      <c r="M25" s="228"/>
      <c r="N25" s="216"/>
      <c r="O25" s="215"/>
      <c r="P25" s="215"/>
      <c r="Q25" s="215"/>
      <c r="R25" s="215"/>
      <c r="S25" s="215"/>
      <c r="T25" s="215"/>
      <c r="U25" s="215"/>
      <c r="V25" s="215"/>
      <c r="W25" s="217"/>
      <c r="X25" s="233">
        <f>Input!C44</f>
        <v>19</v>
      </c>
      <c r="Y25" s="230"/>
      <c r="Z25" s="231"/>
      <c r="AA25" s="231"/>
      <c r="AB25" s="231"/>
      <c r="AC25" s="231"/>
      <c r="AD25" s="231"/>
      <c r="AE25" s="231"/>
      <c r="AF25" s="231"/>
      <c r="AG25" s="231"/>
      <c r="AH25" s="232"/>
      <c r="AI25" s="233">
        <f>Input!C45</f>
        <v>29</v>
      </c>
      <c r="AJ25" s="230"/>
      <c r="AK25" s="231"/>
      <c r="AL25" s="231"/>
      <c r="AM25" s="231"/>
      <c r="AN25" s="231"/>
      <c r="AO25" s="231"/>
      <c r="AP25" s="231"/>
      <c r="AQ25" s="231"/>
      <c r="AR25" s="231"/>
      <c r="AS25" s="232"/>
      <c r="AT25" s="233">
        <f>Input!C46</f>
        <v>0</v>
      </c>
      <c r="AU25" s="180"/>
    </row>
    <row r="26">
      <c r="A26" s="234">
        <v>3.0</v>
      </c>
      <c r="B26" s="191" t="str">
        <f>Input!$B$3</f>
        <v>squat</v>
      </c>
      <c r="C26" s="192">
        <f>Input!C13</f>
        <v>0.6428571429</v>
      </c>
      <c r="D26" s="193">
        <f>Input!B13</f>
        <v>90</v>
      </c>
      <c r="E26" s="179">
        <f>Input!D27</f>
        <v>28</v>
      </c>
      <c r="F26" s="195">
        <v>45477.0</v>
      </c>
      <c r="G26" s="196">
        <v>0.9</v>
      </c>
      <c r="H26" s="197">
        <f>MROUND($D26*G26,Input!$B$6)</f>
        <v>80</v>
      </c>
      <c r="I26" s="198">
        <v>0.9</v>
      </c>
      <c r="J26" s="199">
        <f>MROUND($D26*I26,Input!$B$6)</f>
        <v>80</v>
      </c>
      <c r="K26" s="220"/>
      <c r="L26" s="222"/>
      <c r="M26" s="194" t="str">
        <f t="shared" ref="M26:M30" si="4">M12</f>
        <v>± 2,5kg</v>
      </c>
      <c r="N26" s="238">
        <v>5.0</v>
      </c>
      <c r="O26" s="176"/>
      <c r="P26" s="180"/>
      <c r="Q26" s="180"/>
      <c r="R26" s="176"/>
      <c r="S26" s="176"/>
      <c r="T26" s="176"/>
      <c r="U26" s="176"/>
      <c r="V26" s="176"/>
      <c r="W26" s="176"/>
      <c r="X26" s="179">
        <f>SUM(N26:W30)</f>
        <v>18</v>
      </c>
      <c r="Y26" s="239">
        <v>6.0</v>
      </c>
      <c r="Z26" s="204"/>
      <c r="AA26" s="204"/>
      <c r="AB26" s="239">
        <v>5.0</v>
      </c>
      <c r="AC26" s="204"/>
      <c r="AD26" s="204"/>
      <c r="AE26" s="239">
        <v>6.0</v>
      </c>
      <c r="AF26" s="204"/>
      <c r="AG26" s="204"/>
      <c r="AH26" s="204"/>
      <c r="AI26" s="179">
        <f>SUM(Y26:AH30)</f>
        <v>31</v>
      </c>
      <c r="AJ26" s="203">
        <v>6.0</v>
      </c>
      <c r="AK26" s="204"/>
      <c r="AL26" s="204"/>
      <c r="AM26" s="204"/>
      <c r="AN26" s="204"/>
      <c r="AO26" s="204"/>
      <c r="AP26" s="204"/>
      <c r="AQ26" s="204"/>
      <c r="AR26" s="204"/>
      <c r="AS26" s="204"/>
      <c r="AT26" s="179">
        <f>SUM(AJ26:AS30)</f>
        <v>24</v>
      </c>
      <c r="AU26" s="180">
        <f t="shared" ref="AU26:AU30" si="5">E26-SUM(N26:W26)-SUM(Y26:AH26)-SUM(AJ26:AS26)</f>
        <v>0</v>
      </c>
    </row>
    <row r="27">
      <c r="A27" s="181"/>
      <c r="B27" s="165"/>
      <c r="C27" s="206">
        <f>Input!C14</f>
        <v>0.75</v>
      </c>
      <c r="D27" s="193">
        <f>Input!B14</f>
        <v>105</v>
      </c>
      <c r="E27" s="184">
        <f>Input!D28</f>
        <v>33</v>
      </c>
      <c r="F27" s="208">
        <v>45446.0</v>
      </c>
      <c r="G27" s="196">
        <v>0.9</v>
      </c>
      <c r="H27" s="197">
        <f>MROUND($D27*G27,Input!$B$6)</f>
        <v>95</v>
      </c>
      <c r="I27" s="198">
        <v>0.9</v>
      </c>
      <c r="J27" s="199">
        <f>MROUND($D27*I27,Input!$B$6)</f>
        <v>95</v>
      </c>
      <c r="K27" s="209"/>
      <c r="L27" s="244"/>
      <c r="M27" s="207" t="str">
        <f t="shared" si="4"/>
        <v>± 2,5kg</v>
      </c>
      <c r="N27" s="176"/>
      <c r="O27" s="238">
        <v>5.0</v>
      </c>
      <c r="P27" s="176"/>
      <c r="Q27" s="238">
        <v>5.0</v>
      </c>
      <c r="R27" s="176"/>
      <c r="S27" s="176"/>
      <c r="T27" s="176"/>
      <c r="U27" s="176"/>
      <c r="V27" s="176"/>
      <c r="W27" s="176"/>
      <c r="X27" s="181"/>
      <c r="Y27" s="204"/>
      <c r="Z27" s="239">
        <v>4.0</v>
      </c>
      <c r="AA27" s="204"/>
      <c r="AB27" s="204"/>
      <c r="AC27" s="239">
        <v>4.0</v>
      </c>
      <c r="AD27" s="204"/>
      <c r="AE27" s="204"/>
      <c r="AF27" s="204"/>
      <c r="AG27" s="204"/>
      <c r="AH27" s="204"/>
      <c r="AI27" s="181"/>
      <c r="AJ27" s="204"/>
      <c r="AK27" s="203">
        <v>4.0</v>
      </c>
      <c r="AL27" s="204"/>
      <c r="AM27" s="205"/>
      <c r="AN27" s="203">
        <v>4.0</v>
      </c>
      <c r="AO27" s="203">
        <v>3.0</v>
      </c>
      <c r="AP27" s="203">
        <v>4.0</v>
      </c>
      <c r="AQ27" s="204"/>
      <c r="AR27" s="204"/>
      <c r="AS27" s="204"/>
      <c r="AT27" s="181"/>
      <c r="AU27" s="180">
        <f t="shared" si="5"/>
        <v>0</v>
      </c>
    </row>
    <row r="28">
      <c r="A28" s="181"/>
      <c r="B28" s="165"/>
      <c r="C28" s="206">
        <f>Input!C15</f>
        <v>0.8571428571</v>
      </c>
      <c r="D28" s="193">
        <f>Input!B15</f>
        <v>120</v>
      </c>
      <c r="E28" s="184">
        <f>Input!D29</f>
        <v>11</v>
      </c>
      <c r="F28" s="212">
        <v>45384.0</v>
      </c>
      <c r="G28" s="196">
        <v>0.9</v>
      </c>
      <c r="H28" s="197">
        <f>MROUND($D28*G28,Input!$B$6)</f>
        <v>107.5</v>
      </c>
      <c r="I28" s="198">
        <v>0.9</v>
      </c>
      <c r="J28" s="199">
        <f>MROUND($D28*I28,Input!$B$6)</f>
        <v>107.5</v>
      </c>
      <c r="K28" s="209"/>
      <c r="L28" s="244"/>
      <c r="M28" s="207" t="str">
        <f t="shared" si="4"/>
        <v>± 2,5kg</v>
      </c>
      <c r="N28" s="176"/>
      <c r="O28" s="176"/>
      <c r="P28" s="238">
        <v>3.0</v>
      </c>
      <c r="Q28" s="180"/>
      <c r="R28" s="176"/>
      <c r="S28" s="176"/>
      <c r="T28" s="176"/>
      <c r="U28" s="176"/>
      <c r="V28" s="176"/>
      <c r="W28" s="176"/>
      <c r="X28" s="181"/>
      <c r="Y28" s="204"/>
      <c r="Z28" s="204"/>
      <c r="AA28" s="239">
        <v>3.0</v>
      </c>
      <c r="AB28" s="205"/>
      <c r="AC28" s="205"/>
      <c r="AD28" s="239">
        <v>3.0</v>
      </c>
      <c r="AE28" s="205"/>
      <c r="AF28" s="205"/>
      <c r="AG28" s="204"/>
      <c r="AH28" s="204"/>
      <c r="AI28" s="181"/>
      <c r="AJ28" s="204"/>
      <c r="AK28" s="204"/>
      <c r="AL28" s="203">
        <v>2.0</v>
      </c>
      <c r="AM28" s="205"/>
      <c r="AN28" s="205"/>
      <c r="AO28" s="205"/>
      <c r="AP28" s="204"/>
      <c r="AQ28" s="204"/>
      <c r="AR28" s="204"/>
      <c r="AS28" s="204"/>
      <c r="AT28" s="181"/>
      <c r="AU28" s="180">
        <f t="shared" si="5"/>
        <v>0</v>
      </c>
    </row>
    <row r="29">
      <c r="A29" s="181"/>
      <c r="B29" s="165"/>
      <c r="C29" s="206">
        <f>Input!C16</f>
        <v>0.9285714286</v>
      </c>
      <c r="D29" s="193">
        <f>Input!B16</f>
        <v>130</v>
      </c>
      <c r="E29" s="184">
        <f>Input!D30</f>
        <v>1</v>
      </c>
      <c r="F29" s="24">
        <v>1.0</v>
      </c>
      <c r="G29" s="176"/>
      <c r="H29" s="176"/>
      <c r="I29" s="209"/>
      <c r="J29" s="176"/>
      <c r="K29" s="209"/>
      <c r="L29" s="244"/>
      <c r="M29" s="207" t="str">
        <f t="shared" si="4"/>
        <v>± 5kg</v>
      </c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81"/>
      <c r="Y29" s="204"/>
      <c r="Z29" s="204"/>
      <c r="AA29" s="204"/>
      <c r="AB29" s="205"/>
      <c r="AC29" s="204"/>
      <c r="AD29" s="205"/>
      <c r="AE29" s="204"/>
      <c r="AF29" s="205"/>
      <c r="AG29" s="204"/>
      <c r="AH29" s="204"/>
      <c r="AI29" s="181"/>
      <c r="AJ29" s="204"/>
      <c r="AK29" s="204"/>
      <c r="AL29" s="204"/>
      <c r="AM29" s="203">
        <v>1.0</v>
      </c>
      <c r="AN29" s="204"/>
      <c r="AO29" s="204"/>
      <c r="AP29" s="204"/>
      <c r="AQ29" s="204"/>
      <c r="AR29" s="204"/>
      <c r="AS29" s="204"/>
      <c r="AT29" s="181"/>
      <c r="AU29" s="180">
        <f t="shared" si="5"/>
        <v>0</v>
      </c>
    </row>
    <row r="30">
      <c r="A30" s="181"/>
      <c r="B30" s="165"/>
      <c r="C30" s="213">
        <f>Input!C17</f>
        <v>0.9642857143</v>
      </c>
      <c r="D30" s="193">
        <f>Input!B17</f>
        <v>135</v>
      </c>
      <c r="E30" s="247">
        <f>Input!D31</f>
        <v>0</v>
      </c>
      <c r="F30" s="33">
        <v>1.0</v>
      </c>
      <c r="G30" s="196"/>
      <c r="H30" s="248"/>
      <c r="I30" s="249"/>
      <c r="J30" s="250"/>
      <c r="K30" s="251"/>
      <c r="L30" s="217"/>
      <c r="M30" s="214" t="str">
        <f t="shared" si="4"/>
        <v>± 5kg</v>
      </c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185"/>
      <c r="Y30" s="231"/>
      <c r="Z30" s="231"/>
      <c r="AA30" s="231"/>
      <c r="AB30" s="231"/>
      <c r="AC30" s="252"/>
      <c r="AD30" s="231"/>
      <c r="AE30" s="231"/>
      <c r="AF30" s="231"/>
      <c r="AG30" s="231"/>
      <c r="AH30" s="231"/>
      <c r="AI30" s="185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185"/>
      <c r="AU30" s="180">
        <f t="shared" si="5"/>
        <v>0</v>
      </c>
    </row>
    <row r="31">
      <c r="A31" s="181"/>
      <c r="B31" s="165"/>
      <c r="C31" s="219" t="s">
        <v>110</v>
      </c>
      <c r="D31" s="162"/>
      <c r="E31" s="162"/>
      <c r="F31" s="162"/>
      <c r="G31" s="162"/>
      <c r="H31" s="162"/>
      <c r="I31" s="162"/>
      <c r="J31" s="162"/>
      <c r="K31" s="162"/>
      <c r="L31" s="163"/>
      <c r="M31" s="219"/>
      <c r="N31" s="220"/>
      <c r="O31" s="221"/>
      <c r="P31" s="221"/>
      <c r="Q31" s="221"/>
      <c r="R31" s="221"/>
      <c r="S31" s="221"/>
      <c r="T31" s="221"/>
      <c r="U31" s="221"/>
      <c r="V31" s="221"/>
      <c r="W31" s="222"/>
      <c r="X31" s="227">
        <f>Input!D37</f>
        <v>18</v>
      </c>
      <c r="Y31" s="224"/>
      <c r="Z31" s="225"/>
      <c r="AA31" s="225"/>
      <c r="AB31" s="225"/>
      <c r="AC31" s="225"/>
      <c r="AD31" s="225"/>
      <c r="AE31" s="225"/>
      <c r="AF31" s="225"/>
      <c r="AG31" s="225"/>
      <c r="AH31" s="226"/>
      <c r="AI31" s="227">
        <f>Input!D38</f>
        <v>31</v>
      </c>
      <c r="AJ31" s="224"/>
      <c r="AK31" s="225"/>
      <c r="AL31" s="225"/>
      <c r="AM31" s="225"/>
      <c r="AN31" s="225"/>
      <c r="AO31" s="225"/>
      <c r="AP31" s="225"/>
      <c r="AQ31" s="225"/>
      <c r="AR31" s="225"/>
      <c r="AS31" s="226"/>
      <c r="AT31" s="227">
        <f>Input!D39</f>
        <v>24</v>
      </c>
      <c r="AU31" s="180"/>
    </row>
    <row r="32">
      <c r="A32" s="185"/>
      <c r="B32" s="171"/>
      <c r="C32" s="171"/>
      <c r="D32" s="137"/>
      <c r="E32" s="137"/>
      <c r="F32" s="137"/>
      <c r="G32" s="137"/>
      <c r="H32" s="137"/>
      <c r="I32" s="137"/>
      <c r="J32" s="137"/>
      <c r="K32" s="137"/>
      <c r="L32" s="138"/>
      <c r="M32" s="228"/>
      <c r="N32" s="216"/>
      <c r="O32" s="215"/>
      <c r="P32" s="215"/>
      <c r="Q32" s="215"/>
      <c r="R32" s="215"/>
      <c r="S32" s="215"/>
      <c r="T32" s="215"/>
      <c r="U32" s="215"/>
      <c r="V32" s="215"/>
      <c r="W32" s="217"/>
      <c r="X32" s="233">
        <f>Input!D44</f>
        <v>29</v>
      </c>
      <c r="Y32" s="230"/>
      <c r="Z32" s="231"/>
      <c r="AA32" s="231"/>
      <c r="AB32" s="231"/>
      <c r="AC32" s="231"/>
      <c r="AD32" s="231"/>
      <c r="AE32" s="231"/>
      <c r="AF32" s="231"/>
      <c r="AG32" s="231"/>
      <c r="AH32" s="232"/>
      <c r="AI32" s="233">
        <f>Input!D45</f>
        <v>44</v>
      </c>
      <c r="AJ32" s="230"/>
      <c r="AK32" s="231"/>
      <c r="AL32" s="231"/>
      <c r="AM32" s="231"/>
      <c r="AN32" s="231"/>
      <c r="AO32" s="231"/>
      <c r="AP32" s="231"/>
      <c r="AQ32" s="231"/>
      <c r="AR32" s="231"/>
      <c r="AS32" s="232"/>
      <c r="AT32" s="233">
        <f>Input!D46</f>
        <v>0</v>
      </c>
      <c r="AU32" s="180"/>
    </row>
    <row r="33">
      <c r="A33" s="234">
        <v>4.0</v>
      </c>
      <c r="B33" s="191" t="str">
        <f>Input!$B$3</f>
        <v>squat</v>
      </c>
      <c r="C33" s="192">
        <f>Input!C13</f>
        <v>0.6428571429</v>
      </c>
      <c r="D33" s="193">
        <f>Input!B13</f>
        <v>90</v>
      </c>
      <c r="E33" s="194">
        <f>Input!E27</f>
        <v>24</v>
      </c>
      <c r="F33" s="195">
        <v>45477.0</v>
      </c>
      <c r="G33" s="196">
        <v>0.9</v>
      </c>
      <c r="H33" s="197">
        <f>MROUND($D33*G33,Input!$B$6)</f>
        <v>80</v>
      </c>
      <c r="I33" s="198">
        <v>0.9</v>
      </c>
      <c r="J33" s="199">
        <f>MROUND($D33*I33,Input!$B$6)</f>
        <v>80</v>
      </c>
      <c r="K33" s="220"/>
      <c r="L33" s="222"/>
      <c r="M33" s="194" t="str">
        <f t="shared" ref="M33:M37" si="6">M12</f>
        <v>± 2,5kg</v>
      </c>
      <c r="N33" s="238">
        <v>6.0</v>
      </c>
      <c r="O33" s="176"/>
      <c r="P33" s="180"/>
      <c r="Q33" s="180"/>
      <c r="R33" s="180"/>
      <c r="S33" s="176"/>
      <c r="T33" s="176"/>
      <c r="U33" s="176"/>
      <c r="V33" s="176"/>
      <c r="W33" s="176"/>
      <c r="X33" s="179">
        <f>SUM(N33:W37)</f>
        <v>15</v>
      </c>
      <c r="Y33" s="239">
        <v>7.0</v>
      </c>
      <c r="Z33" s="204"/>
      <c r="AA33" s="204"/>
      <c r="AB33" s="239">
        <v>6.0</v>
      </c>
      <c r="AC33" s="204"/>
      <c r="AD33" s="204"/>
      <c r="AE33" s="205"/>
      <c r="AF33" s="204"/>
      <c r="AG33" s="204"/>
      <c r="AH33" s="205"/>
      <c r="AI33" s="179">
        <f>SUM(Y33:AH37)</f>
        <v>27</v>
      </c>
      <c r="AJ33" s="203">
        <v>5.0</v>
      </c>
      <c r="AK33" s="204"/>
      <c r="AL33" s="204"/>
      <c r="AM33" s="205"/>
      <c r="AN33" s="204"/>
      <c r="AO33" s="205"/>
      <c r="AP33" s="205"/>
      <c r="AQ33" s="204"/>
      <c r="AR33" s="204"/>
      <c r="AS33" s="204"/>
      <c r="AT33" s="179">
        <f>SUM(AJ33:AS37)</f>
        <v>20</v>
      </c>
      <c r="AU33" s="180">
        <f t="shared" ref="AU33:AU37" si="7">E33-SUM(N33:W33)-SUM(Y33:AH33)-SUM(AJ33:AS33)</f>
        <v>0</v>
      </c>
    </row>
    <row r="34">
      <c r="A34" s="181"/>
      <c r="B34" s="165"/>
      <c r="C34" s="206">
        <f>Input!C14</f>
        <v>0.75</v>
      </c>
      <c r="D34" s="193">
        <f>Input!B14</f>
        <v>105</v>
      </c>
      <c r="E34" s="207">
        <f>Input!E28</f>
        <v>28</v>
      </c>
      <c r="F34" s="208">
        <v>45446.0</v>
      </c>
      <c r="G34" s="196">
        <v>0.9</v>
      </c>
      <c r="H34" s="197">
        <f>MROUND($D34*G34,Input!$B$6)</f>
        <v>95</v>
      </c>
      <c r="I34" s="198">
        <v>0.9</v>
      </c>
      <c r="J34" s="199">
        <f>MROUND($D34*I34,Input!$B$6)</f>
        <v>95</v>
      </c>
      <c r="K34" s="209"/>
      <c r="L34" s="244"/>
      <c r="M34" s="207" t="str">
        <f t="shared" si="6"/>
        <v>± 2,5kg</v>
      </c>
      <c r="N34" s="176"/>
      <c r="O34" s="238">
        <v>5.0</v>
      </c>
      <c r="P34" s="180"/>
      <c r="Q34" s="180"/>
      <c r="R34" s="176"/>
      <c r="S34" s="180"/>
      <c r="T34" s="180"/>
      <c r="U34" s="176"/>
      <c r="V34" s="176"/>
      <c r="W34" s="176"/>
      <c r="X34" s="181"/>
      <c r="Y34" s="204"/>
      <c r="Z34" s="239">
        <v>7.0</v>
      </c>
      <c r="AA34" s="239">
        <v>7.0</v>
      </c>
      <c r="AB34" s="205"/>
      <c r="AC34" s="205"/>
      <c r="AD34" s="205"/>
      <c r="AE34" s="205"/>
      <c r="AF34" s="204"/>
      <c r="AG34" s="204"/>
      <c r="AH34" s="205"/>
      <c r="AI34" s="181"/>
      <c r="AJ34" s="204"/>
      <c r="AK34" s="203">
        <v>4.0</v>
      </c>
      <c r="AL34" s="205"/>
      <c r="AM34" s="205"/>
      <c r="AN34" s="203">
        <v>5.0</v>
      </c>
      <c r="AO34" s="205"/>
      <c r="AP34" s="205"/>
      <c r="AQ34" s="205"/>
      <c r="AR34" s="205"/>
      <c r="AS34" s="204"/>
      <c r="AT34" s="181"/>
      <c r="AU34" s="180">
        <f t="shared" si="7"/>
        <v>0</v>
      </c>
    </row>
    <row r="35">
      <c r="A35" s="181"/>
      <c r="B35" s="165"/>
      <c r="C35" s="206">
        <f>Input!C15</f>
        <v>0.8571428571</v>
      </c>
      <c r="D35" s="193">
        <f>Input!B15</f>
        <v>120</v>
      </c>
      <c r="E35" s="207">
        <f>Input!E29</f>
        <v>9</v>
      </c>
      <c r="F35" s="212">
        <v>45384.0</v>
      </c>
      <c r="G35" s="196">
        <v>0.9</v>
      </c>
      <c r="H35" s="197">
        <f>MROUND($D35*G35,Input!$B$6)</f>
        <v>107.5</v>
      </c>
      <c r="I35" s="198">
        <v>0.9</v>
      </c>
      <c r="J35" s="199">
        <f>MROUND($D35*I35,Input!$B$6)</f>
        <v>107.5</v>
      </c>
      <c r="K35" s="209"/>
      <c r="L35" s="244"/>
      <c r="M35" s="207" t="str">
        <f t="shared" si="6"/>
        <v>± 2,5kg</v>
      </c>
      <c r="N35" s="176"/>
      <c r="O35" s="176"/>
      <c r="P35" s="238">
        <v>4.0</v>
      </c>
      <c r="Q35" s="176"/>
      <c r="R35" s="176"/>
      <c r="S35" s="176"/>
      <c r="T35" s="176"/>
      <c r="U35" s="176"/>
      <c r="V35" s="176"/>
      <c r="W35" s="176"/>
      <c r="X35" s="181"/>
      <c r="Y35" s="204"/>
      <c r="Z35" s="204"/>
      <c r="AA35" s="205"/>
      <c r="AB35" s="205"/>
      <c r="AC35" s="205"/>
      <c r="AD35" s="205"/>
      <c r="AE35" s="205"/>
      <c r="AF35" s="204"/>
      <c r="AG35" s="205"/>
      <c r="AH35" s="204"/>
      <c r="AI35" s="181"/>
      <c r="AJ35" s="204"/>
      <c r="AK35" s="204"/>
      <c r="AL35" s="203">
        <v>2.0</v>
      </c>
      <c r="AM35" s="205"/>
      <c r="AN35" s="205"/>
      <c r="AO35" s="203">
        <v>3.0</v>
      </c>
      <c r="AP35" s="204"/>
      <c r="AQ35" s="204"/>
      <c r="AR35" s="204"/>
      <c r="AS35" s="204"/>
      <c r="AT35" s="181"/>
      <c r="AU35" s="180">
        <f t="shared" si="7"/>
        <v>0</v>
      </c>
    </row>
    <row r="36">
      <c r="A36" s="181"/>
      <c r="B36" s="165"/>
      <c r="C36" s="206">
        <f>Input!C16</f>
        <v>0.9285714286</v>
      </c>
      <c r="D36" s="193">
        <f>Input!B16</f>
        <v>130</v>
      </c>
      <c r="E36" s="207">
        <f>Input!E30</f>
        <v>1</v>
      </c>
      <c r="F36" s="24">
        <v>1.0</v>
      </c>
      <c r="G36" s="176"/>
      <c r="H36" s="176"/>
      <c r="I36" s="209"/>
      <c r="J36" s="176"/>
      <c r="K36" s="209"/>
      <c r="L36" s="244"/>
      <c r="M36" s="207" t="str">
        <f t="shared" si="6"/>
        <v>± 5kg</v>
      </c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81"/>
      <c r="Y36" s="204"/>
      <c r="Z36" s="204"/>
      <c r="AA36" s="204"/>
      <c r="AB36" s="205"/>
      <c r="AC36" s="205"/>
      <c r="AD36" s="205"/>
      <c r="AE36" s="204"/>
      <c r="AF36" s="204"/>
      <c r="AG36" s="204"/>
      <c r="AH36" s="204"/>
      <c r="AI36" s="181"/>
      <c r="AJ36" s="204"/>
      <c r="AK36" s="204"/>
      <c r="AL36" s="204"/>
      <c r="AM36" s="203">
        <v>1.0</v>
      </c>
      <c r="AN36" s="204"/>
      <c r="AO36" s="204"/>
      <c r="AP36" s="204"/>
      <c r="AQ36" s="204"/>
      <c r="AR36" s="204"/>
      <c r="AS36" s="204"/>
      <c r="AT36" s="181"/>
      <c r="AU36" s="180">
        <f t="shared" si="7"/>
        <v>0</v>
      </c>
    </row>
    <row r="37">
      <c r="A37" s="181"/>
      <c r="B37" s="165"/>
      <c r="C37" s="213">
        <f>Input!C17</f>
        <v>0.9642857143</v>
      </c>
      <c r="D37" s="193">
        <f>Input!B17</f>
        <v>135</v>
      </c>
      <c r="E37" s="214">
        <f>Input!E31</f>
        <v>0</v>
      </c>
      <c r="F37" s="33">
        <v>1.0</v>
      </c>
      <c r="G37" s="215"/>
      <c r="H37" s="215"/>
      <c r="I37" s="216"/>
      <c r="J37" s="215"/>
      <c r="K37" s="216"/>
      <c r="L37" s="217"/>
      <c r="M37" s="214" t="str">
        <f t="shared" si="6"/>
        <v>± 5kg</v>
      </c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185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185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185"/>
      <c r="AU37" s="180">
        <f t="shared" si="7"/>
        <v>0</v>
      </c>
    </row>
    <row r="38">
      <c r="A38" s="181"/>
      <c r="B38" s="165"/>
      <c r="C38" s="219" t="s">
        <v>110</v>
      </c>
      <c r="D38" s="162"/>
      <c r="E38" s="162"/>
      <c r="F38" s="162"/>
      <c r="G38" s="162"/>
      <c r="H38" s="162"/>
      <c r="I38" s="162"/>
      <c r="J38" s="162"/>
      <c r="K38" s="162"/>
      <c r="L38" s="163"/>
      <c r="M38" s="219"/>
      <c r="N38" s="220"/>
      <c r="O38" s="221"/>
      <c r="P38" s="221"/>
      <c r="Q38" s="221"/>
      <c r="R38" s="221"/>
      <c r="S38" s="221"/>
      <c r="T38" s="221"/>
      <c r="U38" s="221"/>
      <c r="V38" s="221"/>
      <c r="W38" s="222"/>
      <c r="X38" s="227">
        <f>Input!E37</f>
        <v>16</v>
      </c>
      <c r="Y38" s="220"/>
      <c r="Z38" s="221"/>
      <c r="AA38" s="221"/>
      <c r="AB38" s="221"/>
      <c r="AC38" s="221"/>
      <c r="AD38" s="221"/>
      <c r="AE38" s="221"/>
      <c r="AF38" s="221"/>
      <c r="AG38" s="221"/>
      <c r="AH38" s="222"/>
      <c r="AI38" s="227">
        <f>Input!E38</f>
        <v>26</v>
      </c>
      <c r="AJ38" s="220"/>
      <c r="AK38" s="221"/>
      <c r="AL38" s="221"/>
      <c r="AM38" s="221"/>
      <c r="AN38" s="221"/>
      <c r="AO38" s="221"/>
      <c r="AP38" s="221"/>
      <c r="AQ38" s="221"/>
      <c r="AR38" s="221"/>
      <c r="AS38" s="222"/>
      <c r="AT38" s="227">
        <f>Input!E39</f>
        <v>20</v>
      </c>
      <c r="AU38" s="180"/>
    </row>
    <row r="39">
      <c r="A39" s="185"/>
      <c r="B39" s="171"/>
      <c r="C39" s="171"/>
      <c r="D39" s="137"/>
      <c r="E39" s="137"/>
      <c r="F39" s="137"/>
      <c r="G39" s="137"/>
      <c r="H39" s="137"/>
      <c r="I39" s="137"/>
      <c r="J39" s="137"/>
      <c r="K39" s="137"/>
      <c r="L39" s="138"/>
      <c r="M39" s="228"/>
      <c r="N39" s="216"/>
      <c r="O39" s="215"/>
      <c r="P39" s="215"/>
      <c r="Q39" s="215"/>
      <c r="R39" s="215"/>
      <c r="S39" s="215"/>
      <c r="T39" s="215"/>
      <c r="U39" s="215"/>
      <c r="V39" s="215"/>
      <c r="W39" s="217"/>
      <c r="X39" s="233">
        <f>Input!E44</f>
        <v>25</v>
      </c>
      <c r="Y39" s="216"/>
      <c r="Z39" s="215"/>
      <c r="AA39" s="215"/>
      <c r="AB39" s="215"/>
      <c r="AC39" s="215"/>
      <c r="AD39" s="215"/>
      <c r="AE39" s="215"/>
      <c r="AF39" s="215"/>
      <c r="AG39" s="215"/>
      <c r="AH39" s="217"/>
      <c r="AI39" s="233">
        <f>Input!E45</f>
        <v>37</v>
      </c>
      <c r="AJ39" s="216"/>
      <c r="AK39" s="215"/>
      <c r="AL39" s="215"/>
      <c r="AM39" s="215"/>
      <c r="AN39" s="215"/>
      <c r="AO39" s="215"/>
      <c r="AP39" s="215"/>
      <c r="AQ39" s="215"/>
      <c r="AR39" s="215"/>
      <c r="AS39" s="217"/>
      <c r="AT39" s="233">
        <f>Input!E46</f>
        <v>0</v>
      </c>
      <c r="AU39" s="180"/>
    </row>
    <row r="40">
      <c r="A40" s="155"/>
      <c r="B40" s="155"/>
      <c r="C40" s="67"/>
      <c r="D40" s="67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</row>
    <row r="41">
      <c r="A41" s="155"/>
      <c r="B41" s="155"/>
      <c r="C41" s="67"/>
      <c r="D41" s="67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</row>
    <row r="42">
      <c r="A42" s="151" t="s">
        <v>0</v>
      </c>
      <c r="B42" s="62"/>
      <c r="C42" s="62"/>
      <c r="D42" s="62"/>
      <c r="E42" s="62"/>
      <c r="F42" s="63"/>
      <c r="G42" s="152" t="s">
        <v>79</v>
      </c>
      <c r="H42" s="62"/>
      <c r="I42" s="62"/>
      <c r="J42" s="62"/>
      <c r="K42" s="62"/>
      <c r="L42" s="63"/>
      <c r="M42" s="153"/>
      <c r="N42" s="153" t="s">
        <v>6</v>
      </c>
      <c r="O42" s="62"/>
      <c r="P42" s="152" t="s">
        <v>80</v>
      </c>
      <c r="Q42" s="62"/>
      <c r="R42" s="152" t="s">
        <v>81</v>
      </c>
      <c r="S42" s="62"/>
      <c r="T42" s="152" t="s">
        <v>82</v>
      </c>
      <c r="U42" s="62"/>
      <c r="V42" s="152" t="s">
        <v>83</v>
      </c>
      <c r="W42" s="62"/>
      <c r="X42" s="63"/>
      <c r="Y42" s="152" t="s">
        <v>32</v>
      </c>
      <c r="Z42" s="63"/>
      <c r="AA42" s="152" t="s">
        <v>84</v>
      </c>
      <c r="AB42" s="63"/>
      <c r="AC42" s="152">
        <v>8190.0</v>
      </c>
      <c r="AD42" s="63"/>
      <c r="AE42" s="154"/>
      <c r="AF42" s="154"/>
      <c r="AG42" s="154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</row>
    <row r="43">
      <c r="A43" s="156" t="str">
        <f>Input!B2</f>
        <v>Kateřina Balášová</v>
      </c>
      <c r="B43" s="62"/>
      <c r="C43" s="62"/>
      <c r="D43" s="62"/>
      <c r="E43" s="62"/>
      <c r="F43" s="63"/>
      <c r="G43" s="157" t="str">
        <f>Input!B49</f>
        <v>bench press</v>
      </c>
      <c r="H43" s="62"/>
      <c r="I43" s="62"/>
      <c r="J43" s="62"/>
      <c r="K43" s="62"/>
      <c r="L43" s="63"/>
      <c r="M43" s="157"/>
      <c r="N43" s="158">
        <f>Input!B51</f>
        <v>77.5</v>
      </c>
      <c r="O43" s="62"/>
      <c r="P43" s="159">
        <f>Input!B52</f>
        <v>2.5</v>
      </c>
      <c r="Q43" s="62"/>
      <c r="R43" s="157" t="str">
        <f>Input!B50</f>
        <v>prep</v>
      </c>
      <c r="S43" s="62"/>
      <c r="T43" s="253">
        <f>Input!B53</f>
        <v>250</v>
      </c>
      <c r="U43" s="62"/>
      <c r="V43" s="157">
        <f>Input!E62+Input!E63</f>
        <v>5</v>
      </c>
      <c r="W43" s="62"/>
      <c r="X43" s="63"/>
      <c r="Y43" s="160">
        <f>Input!B65</f>
        <v>0.7701290323</v>
      </c>
      <c r="Z43" s="63"/>
      <c r="AA43" s="157" t="str">
        <f>Input!B67</f>
        <v>2a</v>
      </c>
      <c r="AB43" s="63"/>
      <c r="AC43" s="157" t="str">
        <f>Input!B68</f>
        <v>1-3a</v>
      </c>
      <c r="AD43" s="63"/>
      <c r="AE43" s="154"/>
      <c r="AF43" s="154"/>
      <c r="AG43" s="154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</row>
    <row r="44">
      <c r="A44" s="155"/>
      <c r="B44" s="155"/>
      <c r="C44" s="67"/>
      <c r="D44" s="67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</row>
    <row r="45">
      <c r="A45" s="161" t="s">
        <v>85</v>
      </c>
      <c r="B45" s="162"/>
      <c r="C45" s="162"/>
      <c r="D45" s="163"/>
      <c r="E45" s="164" t="s">
        <v>86</v>
      </c>
      <c r="F45" s="62"/>
      <c r="G45" s="62"/>
      <c r="H45" s="62"/>
      <c r="I45" s="62"/>
      <c r="J45" s="62"/>
      <c r="K45" s="62"/>
      <c r="L45" s="62"/>
      <c r="M45" s="254"/>
      <c r="N45" s="156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3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</row>
    <row r="46">
      <c r="A46" s="165"/>
      <c r="D46" s="166"/>
      <c r="E46" s="167" t="s">
        <v>111</v>
      </c>
      <c r="F46" s="162"/>
      <c r="G46" s="162"/>
      <c r="H46" s="162"/>
      <c r="I46" s="162"/>
      <c r="J46" s="162"/>
      <c r="K46" s="162"/>
      <c r="L46" s="163"/>
      <c r="M46" s="168"/>
      <c r="N46" s="156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3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</row>
    <row r="47">
      <c r="A47" s="165"/>
      <c r="D47" s="166"/>
      <c r="E47" s="169" t="s">
        <v>112</v>
      </c>
      <c r="F47" s="62"/>
      <c r="G47" s="62"/>
      <c r="H47" s="62"/>
      <c r="I47" s="62"/>
      <c r="J47" s="62"/>
      <c r="K47" s="62"/>
      <c r="L47" s="63"/>
      <c r="M47" s="170"/>
      <c r="N47" s="156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3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</row>
    <row r="48">
      <c r="A48" s="171"/>
      <c r="B48" s="137"/>
      <c r="C48" s="137"/>
      <c r="D48" s="138"/>
      <c r="E48" s="172" t="s">
        <v>113</v>
      </c>
      <c r="F48" s="137"/>
      <c r="G48" s="137"/>
      <c r="H48" s="137"/>
      <c r="I48" s="137"/>
      <c r="J48" s="137"/>
      <c r="K48" s="137"/>
      <c r="L48" s="138"/>
      <c r="M48" s="173"/>
      <c r="N48" s="156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3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</row>
    <row r="49">
      <c r="A49" s="155"/>
      <c r="B49" s="155"/>
      <c r="C49" s="67"/>
      <c r="D49" s="67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</row>
    <row r="50">
      <c r="A50" s="174" t="s">
        <v>89</v>
      </c>
      <c r="B50" s="175"/>
      <c r="C50" s="176"/>
      <c r="D50" s="174" t="s">
        <v>90</v>
      </c>
      <c r="E50" s="176"/>
      <c r="F50" s="176"/>
      <c r="G50" s="176"/>
      <c r="H50" s="174" t="s">
        <v>91</v>
      </c>
      <c r="I50" s="177"/>
      <c r="J50" s="174" t="s">
        <v>91</v>
      </c>
      <c r="K50" s="177"/>
      <c r="L50" s="174" t="s">
        <v>91</v>
      </c>
      <c r="M50" s="174" t="s">
        <v>92</v>
      </c>
      <c r="N50" s="178" t="s">
        <v>93</v>
      </c>
      <c r="O50" s="62"/>
      <c r="P50" s="62"/>
      <c r="Q50" s="62"/>
      <c r="R50" s="62"/>
      <c r="S50" s="62"/>
      <c r="T50" s="62"/>
      <c r="U50" s="62"/>
      <c r="V50" s="62"/>
      <c r="W50" s="63"/>
      <c r="X50" s="174"/>
      <c r="Y50" s="178" t="s">
        <v>94</v>
      </c>
      <c r="Z50" s="62"/>
      <c r="AA50" s="62"/>
      <c r="AB50" s="62"/>
      <c r="AC50" s="62"/>
      <c r="AD50" s="62"/>
      <c r="AE50" s="62"/>
      <c r="AF50" s="62"/>
      <c r="AG50" s="62"/>
      <c r="AH50" s="63"/>
      <c r="AI50" s="174"/>
      <c r="AJ50" s="178" t="s">
        <v>95</v>
      </c>
      <c r="AK50" s="62"/>
      <c r="AL50" s="62"/>
      <c r="AM50" s="62"/>
      <c r="AN50" s="62"/>
      <c r="AO50" s="62"/>
      <c r="AP50" s="62"/>
      <c r="AQ50" s="62"/>
      <c r="AR50" s="62"/>
      <c r="AS50" s="63"/>
      <c r="AT50" s="179"/>
      <c r="AU50" s="180"/>
    </row>
    <row r="51">
      <c r="A51" s="181"/>
      <c r="B51" s="175"/>
      <c r="C51" s="177"/>
      <c r="D51" s="181"/>
      <c r="E51" s="177"/>
      <c r="F51" s="182"/>
      <c r="G51" s="182"/>
      <c r="H51" s="181"/>
      <c r="I51" s="177"/>
      <c r="J51" s="181"/>
      <c r="K51" s="177"/>
      <c r="L51" s="181"/>
      <c r="M51" s="181"/>
      <c r="N51" s="183" t="s">
        <v>96</v>
      </c>
      <c r="O51" s="162"/>
      <c r="P51" s="162"/>
      <c r="Q51" s="162"/>
      <c r="R51" s="162"/>
      <c r="S51" s="162"/>
      <c r="T51" s="162"/>
      <c r="U51" s="162"/>
      <c r="V51" s="162"/>
      <c r="W51" s="163"/>
      <c r="X51" s="181"/>
      <c r="Y51" s="183" t="s">
        <v>96</v>
      </c>
      <c r="Z51" s="162"/>
      <c r="AA51" s="162"/>
      <c r="AB51" s="162"/>
      <c r="AC51" s="162"/>
      <c r="AD51" s="162"/>
      <c r="AE51" s="162"/>
      <c r="AF51" s="162"/>
      <c r="AG51" s="162"/>
      <c r="AH51" s="163"/>
      <c r="AI51" s="181"/>
      <c r="AJ51" s="183" t="s">
        <v>96</v>
      </c>
      <c r="AK51" s="162"/>
      <c r="AL51" s="162"/>
      <c r="AM51" s="162"/>
      <c r="AN51" s="162"/>
      <c r="AO51" s="162"/>
      <c r="AP51" s="162"/>
      <c r="AQ51" s="162"/>
      <c r="AR51" s="162"/>
      <c r="AS51" s="163"/>
      <c r="AT51" s="184"/>
      <c r="AU51" s="180"/>
    </row>
    <row r="52">
      <c r="A52" s="185"/>
      <c r="B52" s="186" t="s">
        <v>79</v>
      </c>
      <c r="C52" s="174" t="s">
        <v>97</v>
      </c>
      <c r="D52" s="185"/>
      <c r="E52" s="174" t="s">
        <v>38</v>
      </c>
      <c r="F52" s="186" t="s">
        <v>98</v>
      </c>
      <c r="G52" s="178" t="s">
        <v>99</v>
      </c>
      <c r="H52" s="185"/>
      <c r="I52" s="183" t="s">
        <v>99</v>
      </c>
      <c r="J52" s="185"/>
      <c r="K52" s="183" t="s">
        <v>99</v>
      </c>
      <c r="L52" s="185"/>
      <c r="M52" s="185"/>
      <c r="N52" s="178" t="s">
        <v>100</v>
      </c>
      <c r="O52" s="187" t="s">
        <v>101</v>
      </c>
      <c r="P52" s="187" t="s">
        <v>102</v>
      </c>
      <c r="Q52" s="187" t="s">
        <v>103</v>
      </c>
      <c r="R52" s="187" t="s">
        <v>104</v>
      </c>
      <c r="S52" s="187" t="s">
        <v>105</v>
      </c>
      <c r="T52" s="187" t="s">
        <v>106</v>
      </c>
      <c r="U52" s="187" t="s">
        <v>107</v>
      </c>
      <c r="V52" s="187" t="s">
        <v>108</v>
      </c>
      <c r="W52" s="188" t="s">
        <v>109</v>
      </c>
      <c r="X52" s="185"/>
      <c r="Y52" s="178" t="s">
        <v>100</v>
      </c>
      <c r="Z52" s="187" t="s">
        <v>101</v>
      </c>
      <c r="AA52" s="187" t="s">
        <v>102</v>
      </c>
      <c r="AB52" s="187" t="s">
        <v>103</v>
      </c>
      <c r="AC52" s="187" t="s">
        <v>104</v>
      </c>
      <c r="AD52" s="187" t="s">
        <v>105</v>
      </c>
      <c r="AE52" s="187" t="s">
        <v>106</v>
      </c>
      <c r="AF52" s="187" t="s">
        <v>107</v>
      </c>
      <c r="AG52" s="187" t="s">
        <v>108</v>
      </c>
      <c r="AH52" s="188" t="s">
        <v>109</v>
      </c>
      <c r="AI52" s="185"/>
      <c r="AJ52" s="178" t="s">
        <v>100</v>
      </c>
      <c r="AK52" s="187" t="s">
        <v>101</v>
      </c>
      <c r="AL52" s="187" t="s">
        <v>102</v>
      </c>
      <c r="AM52" s="187" t="s">
        <v>103</v>
      </c>
      <c r="AN52" s="187" t="s">
        <v>104</v>
      </c>
      <c r="AO52" s="187" t="s">
        <v>105</v>
      </c>
      <c r="AP52" s="187" t="s">
        <v>106</v>
      </c>
      <c r="AQ52" s="187" t="s">
        <v>107</v>
      </c>
      <c r="AR52" s="187" t="s">
        <v>108</v>
      </c>
      <c r="AS52" s="188" t="s">
        <v>109</v>
      </c>
      <c r="AT52" s="189"/>
      <c r="AU52" s="180"/>
    </row>
    <row r="53">
      <c r="A53" s="190">
        <v>1.0</v>
      </c>
      <c r="B53" s="191" t="str">
        <f>Input!$B$49</f>
        <v>bench press</v>
      </c>
      <c r="C53" s="192">
        <f>Input!C59</f>
        <v>0.6451612903</v>
      </c>
      <c r="D53" s="255">
        <f>Input!B59</f>
        <v>50</v>
      </c>
      <c r="E53" s="194">
        <f>Input!B73</f>
        <v>11</v>
      </c>
      <c r="F53" s="256">
        <v>45477.0</v>
      </c>
      <c r="G53" s="196">
        <v>0.95</v>
      </c>
      <c r="H53" s="197">
        <f>MROUND($D53*G53,Input!$B$6)</f>
        <v>47.5</v>
      </c>
      <c r="I53" s="198">
        <v>0.85</v>
      </c>
      <c r="J53" s="199">
        <f>MROUND($D53*I53,Input!$B$6)</f>
        <v>42.5</v>
      </c>
      <c r="K53" s="257">
        <v>1.1</v>
      </c>
      <c r="L53" s="258">
        <f>MROUND($D53*K53,Input!$B$6)</f>
        <v>55</v>
      </c>
      <c r="M53" s="202" t="str">
        <f>Input!I58</f>
        <v>± 2,5kg</v>
      </c>
      <c r="N53" s="180"/>
      <c r="O53" s="180"/>
      <c r="P53" s="180"/>
      <c r="Q53" s="180"/>
      <c r="R53" s="180"/>
      <c r="S53" s="176"/>
      <c r="T53" s="176"/>
      <c r="U53" s="176"/>
      <c r="V53" s="176"/>
      <c r="W53" s="176"/>
      <c r="X53" s="179">
        <f>SUM(N53:W57)</f>
        <v>11</v>
      </c>
      <c r="Y53" s="259"/>
      <c r="Z53" s="176"/>
      <c r="AA53" s="176"/>
      <c r="AB53" s="180"/>
      <c r="AC53" s="176"/>
      <c r="AD53" s="180"/>
      <c r="AE53" s="180"/>
      <c r="AF53" s="176"/>
      <c r="AG53" s="176"/>
      <c r="AH53" s="176"/>
      <c r="AI53" s="179">
        <f>SUM(Y53:AH57)</f>
        <v>14</v>
      </c>
      <c r="AJ53" s="260">
        <v>6.0</v>
      </c>
      <c r="AK53" s="176"/>
      <c r="AL53" s="261">
        <v>6.0</v>
      </c>
      <c r="AM53" s="176"/>
      <c r="AN53" s="176"/>
      <c r="AO53" s="176"/>
      <c r="AP53" s="176"/>
      <c r="AQ53" s="176"/>
      <c r="AR53" s="176"/>
      <c r="AS53" s="244"/>
      <c r="AT53" s="179">
        <f>SUM(AJ53:AS57)</f>
        <v>18</v>
      </c>
      <c r="AU53" s="180">
        <f t="shared" ref="AU53:AU57" si="8">E53-SUM(N53:W53)-SUM(Y53:AH53)-SUM(AJ53:AS53)</f>
        <v>-1</v>
      </c>
    </row>
    <row r="54">
      <c r="A54" s="181"/>
      <c r="B54" s="165"/>
      <c r="C54" s="206">
        <f>Input!C60</f>
        <v>0.7741935484</v>
      </c>
      <c r="D54" s="262">
        <f>Input!B60</f>
        <v>60</v>
      </c>
      <c r="E54" s="207">
        <f>Input!B74</f>
        <v>19</v>
      </c>
      <c r="F54" s="263">
        <v>45446.0</v>
      </c>
      <c r="G54" s="196">
        <v>0.95</v>
      </c>
      <c r="H54" s="197">
        <f>MROUND($D54*G54,Input!$B$6)</f>
        <v>57.5</v>
      </c>
      <c r="I54" s="198">
        <v>0.85</v>
      </c>
      <c r="J54" s="199">
        <f>MROUND($D54*I54,Input!$B$6)</f>
        <v>50</v>
      </c>
      <c r="K54" s="198">
        <v>1.1</v>
      </c>
      <c r="L54" s="264">
        <f>MROUND($D54*K54,Input!$B$6)</f>
        <v>65</v>
      </c>
      <c r="M54" s="211" t="str">
        <f>Input!I59</f>
        <v>± 2,5kg</v>
      </c>
      <c r="N54" s="238">
        <v>5.0</v>
      </c>
      <c r="O54" s="180"/>
      <c r="P54" s="180"/>
      <c r="Q54" s="180"/>
      <c r="R54" s="176"/>
      <c r="S54" s="176"/>
      <c r="T54" s="176"/>
      <c r="U54" s="176"/>
      <c r="V54" s="176"/>
      <c r="W54" s="176"/>
      <c r="X54" s="181"/>
      <c r="Y54" s="259">
        <v>4.0</v>
      </c>
      <c r="Z54" s="180"/>
      <c r="AA54" s="180"/>
      <c r="AB54" s="180">
        <v>4.0</v>
      </c>
      <c r="AC54" s="180"/>
      <c r="AD54" s="180"/>
      <c r="AE54" s="180"/>
      <c r="AF54" s="176"/>
      <c r="AG54" s="176"/>
      <c r="AH54" s="176"/>
      <c r="AI54" s="181"/>
      <c r="AJ54" s="209"/>
      <c r="AK54" s="261">
        <v>6.0</v>
      </c>
      <c r="AL54" s="180"/>
      <c r="AM54" s="180"/>
      <c r="AN54" s="180"/>
      <c r="AO54" s="176"/>
      <c r="AP54" s="176"/>
      <c r="AQ54" s="176"/>
      <c r="AR54" s="176"/>
      <c r="AS54" s="244"/>
      <c r="AT54" s="181"/>
      <c r="AU54" s="180">
        <f t="shared" si="8"/>
        <v>0</v>
      </c>
    </row>
    <row r="55">
      <c r="A55" s="181"/>
      <c r="B55" s="165"/>
      <c r="C55" s="206">
        <f>Input!C61</f>
        <v>0.8709677419</v>
      </c>
      <c r="D55" s="262">
        <f>Input!B61</f>
        <v>67.5</v>
      </c>
      <c r="E55" s="207">
        <f>Input!B75</f>
        <v>11</v>
      </c>
      <c r="F55" s="265">
        <v>45384.0</v>
      </c>
      <c r="G55" s="196">
        <v>0.95</v>
      </c>
      <c r="H55" s="197">
        <f>MROUND($D55*G55,Input!$B$6)</f>
        <v>65</v>
      </c>
      <c r="I55" s="198">
        <v>0.85</v>
      </c>
      <c r="J55" s="199">
        <f>MROUND($D55*I55,Input!$B$6)</f>
        <v>57.5</v>
      </c>
      <c r="K55" s="198">
        <v>1.1</v>
      </c>
      <c r="L55" s="264">
        <f>MROUND($D55*K55,Input!$B$6)</f>
        <v>75</v>
      </c>
      <c r="M55" s="211" t="str">
        <f>Input!I60</f>
        <v>± 2,5kg</v>
      </c>
      <c r="N55" s="176"/>
      <c r="O55" s="238">
        <v>3.0</v>
      </c>
      <c r="P55" s="238">
        <v>3.0</v>
      </c>
      <c r="Q55" s="176"/>
      <c r="R55" s="176"/>
      <c r="S55" s="176"/>
      <c r="T55" s="176"/>
      <c r="U55" s="176"/>
      <c r="V55" s="176"/>
      <c r="W55" s="176"/>
      <c r="X55" s="181"/>
      <c r="Y55" s="209"/>
      <c r="Z55" s="180">
        <v>2.0</v>
      </c>
      <c r="AA55" s="180"/>
      <c r="AB55" s="243"/>
      <c r="AC55" s="180">
        <v>3.0</v>
      </c>
      <c r="AD55" s="176"/>
      <c r="AE55" s="176"/>
      <c r="AF55" s="176"/>
      <c r="AG55" s="176"/>
      <c r="AH55" s="176"/>
      <c r="AI55" s="181"/>
      <c r="AJ55" s="209"/>
      <c r="AK55" s="176"/>
      <c r="AL55" s="180"/>
      <c r="AM55" s="176"/>
      <c r="AN55" s="180"/>
      <c r="AO55" s="176"/>
      <c r="AP55" s="176"/>
      <c r="AQ55" s="176"/>
      <c r="AR55" s="176"/>
      <c r="AS55" s="244"/>
      <c r="AT55" s="181"/>
      <c r="AU55" s="180">
        <f t="shared" si="8"/>
        <v>0</v>
      </c>
    </row>
    <row r="56">
      <c r="A56" s="181"/>
      <c r="B56" s="165"/>
      <c r="C56" s="206">
        <f>Input!C62</f>
        <v>0.935483871</v>
      </c>
      <c r="D56" s="262">
        <f>Input!B62</f>
        <v>72.5</v>
      </c>
      <c r="E56" s="207">
        <f>Input!B76</f>
        <v>1</v>
      </c>
      <c r="F56" s="266">
        <v>1.0</v>
      </c>
      <c r="G56" s="196">
        <v>0.95</v>
      </c>
      <c r="H56" s="197">
        <f>MROUND($D56*G56,Input!$B$6)</f>
        <v>70</v>
      </c>
      <c r="I56" s="198">
        <v>0.85</v>
      </c>
      <c r="J56" s="199">
        <f>MROUND($D56*I56,Input!$B$6)</f>
        <v>62.5</v>
      </c>
      <c r="K56" s="198">
        <v>1.1</v>
      </c>
      <c r="L56" s="264">
        <f>MROUND($D56*K56,Input!$B$6)</f>
        <v>80</v>
      </c>
      <c r="M56" s="211" t="str">
        <f>Input!I61</f>
        <v>± 2,5kg</v>
      </c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81"/>
      <c r="Y56" s="209"/>
      <c r="Z56" s="176"/>
      <c r="AA56" s="180">
        <v>1.0</v>
      </c>
      <c r="AB56" s="176"/>
      <c r="AC56" s="176"/>
      <c r="AD56" s="176"/>
      <c r="AE56" s="176"/>
      <c r="AF56" s="176"/>
      <c r="AG56" s="176"/>
      <c r="AH56" s="176"/>
      <c r="AI56" s="181"/>
      <c r="AJ56" s="209"/>
      <c r="AK56" s="176"/>
      <c r="AL56" s="176"/>
      <c r="AM56" s="176"/>
      <c r="AN56" s="176"/>
      <c r="AO56" s="176"/>
      <c r="AP56" s="176"/>
      <c r="AQ56" s="176"/>
      <c r="AR56" s="176"/>
      <c r="AS56" s="244"/>
      <c r="AT56" s="181"/>
      <c r="AU56" s="180">
        <f t="shared" si="8"/>
        <v>0</v>
      </c>
    </row>
    <row r="57">
      <c r="A57" s="181"/>
      <c r="B57" s="165"/>
      <c r="C57" s="213">
        <f>Input!C63</f>
        <v>0.9677419355</v>
      </c>
      <c r="D57" s="267">
        <f>Input!B63</f>
        <v>75</v>
      </c>
      <c r="E57" s="214">
        <f>Input!B77</f>
        <v>0</v>
      </c>
      <c r="F57" s="268">
        <v>1.0</v>
      </c>
      <c r="G57" s="215"/>
      <c r="H57" s="215"/>
      <c r="I57" s="216"/>
      <c r="J57" s="215"/>
      <c r="K57" s="251">
        <v>1.1</v>
      </c>
      <c r="L57" s="269">
        <f>MROUND($D57*K57,Input!$B$6)</f>
        <v>82.5</v>
      </c>
      <c r="M57" s="218" t="str">
        <f>Input!I62</f>
        <v>± 2,5kg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85"/>
      <c r="Y57" s="216"/>
      <c r="Z57" s="215"/>
      <c r="AA57" s="215"/>
      <c r="AB57" s="215"/>
      <c r="AC57" s="215"/>
      <c r="AD57" s="215"/>
      <c r="AE57" s="215"/>
      <c r="AF57" s="215"/>
      <c r="AG57" s="215"/>
      <c r="AH57" s="215"/>
      <c r="AI57" s="185"/>
      <c r="AJ57" s="216"/>
      <c r="AK57" s="215"/>
      <c r="AL57" s="215"/>
      <c r="AM57" s="215"/>
      <c r="AN57" s="215"/>
      <c r="AO57" s="215"/>
      <c r="AP57" s="215"/>
      <c r="AQ57" s="215"/>
      <c r="AR57" s="215"/>
      <c r="AS57" s="217"/>
      <c r="AT57" s="185"/>
      <c r="AU57" s="180">
        <f t="shared" si="8"/>
        <v>0</v>
      </c>
    </row>
    <row r="58">
      <c r="A58" s="181"/>
      <c r="B58" s="165"/>
      <c r="C58" s="270" t="s">
        <v>110</v>
      </c>
      <c r="L58" s="166"/>
      <c r="M58" s="270"/>
      <c r="N58" s="220"/>
      <c r="O58" s="221"/>
      <c r="P58" s="221"/>
      <c r="Q58" s="221"/>
      <c r="R58" s="221"/>
      <c r="S58" s="221"/>
      <c r="T58" s="221"/>
      <c r="U58" s="221"/>
      <c r="V58" s="221"/>
      <c r="W58" s="222"/>
      <c r="X58" s="223">
        <f>Input!B83</f>
        <v>11</v>
      </c>
      <c r="Y58" s="220"/>
      <c r="Z58" s="221"/>
      <c r="AA58" s="221"/>
      <c r="AB58" s="221"/>
      <c r="AC58" s="221"/>
      <c r="AD58" s="221"/>
      <c r="AE58" s="221"/>
      <c r="AF58" s="221"/>
      <c r="AG58" s="221"/>
      <c r="AH58" s="222"/>
      <c r="AI58" s="227">
        <f>Input!B84</f>
        <v>14</v>
      </c>
      <c r="AJ58" s="220"/>
      <c r="AK58" s="221"/>
      <c r="AL58" s="221"/>
      <c r="AM58" s="221"/>
      <c r="AN58" s="221"/>
      <c r="AO58" s="221"/>
      <c r="AP58" s="221"/>
      <c r="AQ58" s="221"/>
      <c r="AR58" s="221"/>
      <c r="AS58" s="222"/>
      <c r="AT58" s="227">
        <f>Input!B85</f>
        <v>18</v>
      </c>
      <c r="AU58" s="180"/>
    </row>
    <row r="59">
      <c r="A59" s="185"/>
      <c r="B59" s="171"/>
      <c r="C59" s="171"/>
      <c r="D59" s="137"/>
      <c r="E59" s="137"/>
      <c r="F59" s="137"/>
      <c r="G59" s="137"/>
      <c r="H59" s="137"/>
      <c r="I59" s="137"/>
      <c r="J59" s="137"/>
      <c r="K59" s="137"/>
      <c r="L59" s="138"/>
      <c r="M59" s="228"/>
      <c r="N59" s="216"/>
      <c r="O59" s="215"/>
      <c r="P59" s="215"/>
      <c r="Q59" s="215"/>
      <c r="R59" s="215"/>
      <c r="S59" s="215"/>
      <c r="T59" s="215"/>
      <c r="U59" s="215"/>
      <c r="V59" s="215"/>
      <c r="W59" s="217"/>
      <c r="X59" s="229">
        <f>Input!B90</f>
        <v>17</v>
      </c>
      <c r="Y59" s="216"/>
      <c r="Z59" s="215"/>
      <c r="AA59" s="215"/>
      <c r="AB59" s="215"/>
      <c r="AC59" s="215"/>
      <c r="AD59" s="215"/>
      <c r="AE59" s="215"/>
      <c r="AF59" s="215"/>
      <c r="AG59" s="215"/>
      <c r="AH59" s="217"/>
      <c r="AI59" s="233">
        <f>Input!B91</f>
        <v>26</v>
      </c>
      <c r="AJ59" s="216"/>
      <c r="AK59" s="215"/>
      <c r="AL59" s="215"/>
      <c r="AM59" s="215"/>
      <c r="AN59" s="215"/>
      <c r="AO59" s="215"/>
      <c r="AP59" s="215"/>
      <c r="AQ59" s="215"/>
      <c r="AR59" s="215"/>
      <c r="AS59" s="217"/>
      <c r="AT59" s="233">
        <f>Input!B92</f>
        <v>0</v>
      </c>
      <c r="AU59" s="180"/>
    </row>
    <row r="60">
      <c r="A60" s="234">
        <v>2.0</v>
      </c>
      <c r="B60" s="191" t="str">
        <f>Input!$B$49</f>
        <v>bench press</v>
      </c>
      <c r="C60" s="192">
        <f>Input!C59</f>
        <v>0.6451612903</v>
      </c>
      <c r="D60" s="271">
        <f>Input!B59</f>
        <v>50</v>
      </c>
      <c r="E60" s="25">
        <f>Input!C73</f>
        <v>21</v>
      </c>
      <c r="F60" s="256">
        <v>45477.0</v>
      </c>
      <c r="G60" s="196">
        <v>0.95</v>
      </c>
      <c r="H60" s="197">
        <f>MROUND($D60*G60,Input!$B$6)</f>
        <v>47.5</v>
      </c>
      <c r="I60" s="198">
        <v>0.85</v>
      </c>
      <c r="J60" s="199">
        <f>MROUND($D60*I60,Input!$B$6)</f>
        <v>42.5</v>
      </c>
      <c r="K60" s="257">
        <v>1.1</v>
      </c>
      <c r="L60" s="258">
        <f>MROUND($D60*K60,Input!$B$6)</f>
        <v>55</v>
      </c>
      <c r="M60" s="194" t="str">
        <f t="shared" ref="M60:M64" si="9">M53</f>
        <v>± 2,5kg</v>
      </c>
      <c r="N60" s="238">
        <v>5.0</v>
      </c>
      <c r="O60" s="176"/>
      <c r="P60" s="180"/>
      <c r="Q60" s="180"/>
      <c r="R60" s="180"/>
      <c r="S60" s="176"/>
      <c r="T60" s="176"/>
      <c r="U60" s="176"/>
      <c r="V60" s="176"/>
      <c r="W60" s="176"/>
      <c r="X60" s="179">
        <f>SUM(N60:W64)</f>
        <v>20</v>
      </c>
      <c r="Y60" s="259">
        <v>5.0</v>
      </c>
      <c r="Z60" s="176"/>
      <c r="AA60" s="176"/>
      <c r="AB60" s="180"/>
      <c r="AC60" s="176"/>
      <c r="AD60" s="272"/>
      <c r="AE60" s="180"/>
      <c r="AF60" s="176"/>
      <c r="AG60" s="176"/>
      <c r="AH60" s="176"/>
      <c r="AI60" s="179">
        <f>SUM(Y60:AH64)</f>
        <v>27</v>
      </c>
      <c r="AJ60" s="273">
        <v>6.0</v>
      </c>
      <c r="AK60" s="221"/>
      <c r="AL60" s="221"/>
      <c r="AM60" s="221"/>
      <c r="AN60" s="274"/>
      <c r="AO60" s="275">
        <v>5.0</v>
      </c>
      <c r="AP60" s="274"/>
      <c r="AQ60" s="221"/>
      <c r="AR60" s="221"/>
      <c r="AS60" s="222"/>
      <c r="AT60" s="179">
        <f>SUM(AJ60:AS64)</f>
        <v>34</v>
      </c>
      <c r="AU60" s="180">
        <f t="shared" ref="AU60:AU64" si="10">E60-SUM(N60:W60)-SUM(Y60:AH60)-SUM(AJ60:AS60)</f>
        <v>0</v>
      </c>
    </row>
    <row r="61">
      <c r="A61" s="181"/>
      <c r="B61" s="165"/>
      <c r="C61" s="206">
        <f>Input!C60</f>
        <v>0.7741935484</v>
      </c>
      <c r="D61" s="193">
        <f>Input!B60</f>
        <v>60</v>
      </c>
      <c r="E61" s="27">
        <f>Input!C74</f>
        <v>37</v>
      </c>
      <c r="F61" s="263">
        <v>45446.0</v>
      </c>
      <c r="G61" s="196">
        <v>0.95</v>
      </c>
      <c r="H61" s="197">
        <f>MROUND($D61*G61,Input!$B$6)</f>
        <v>57.5</v>
      </c>
      <c r="I61" s="198">
        <v>0.85</v>
      </c>
      <c r="J61" s="199">
        <f>MROUND($D61*I61,Input!$B$6)</f>
        <v>50</v>
      </c>
      <c r="K61" s="198">
        <v>1.1</v>
      </c>
      <c r="L61" s="264">
        <f>MROUND($D61*K61,Input!$B$6)</f>
        <v>65</v>
      </c>
      <c r="M61" s="207" t="str">
        <f t="shared" si="9"/>
        <v>± 2,5kg</v>
      </c>
      <c r="N61" s="176"/>
      <c r="O61" s="238">
        <v>5.0</v>
      </c>
      <c r="P61" s="180"/>
      <c r="Q61" s="180"/>
      <c r="R61" s="238">
        <v>5.0</v>
      </c>
      <c r="S61" s="176"/>
      <c r="T61" s="176"/>
      <c r="U61" s="176"/>
      <c r="V61" s="176"/>
      <c r="W61" s="176"/>
      <c r="X61" s="181"/>
      <c r="Y61" s="209"/>
      <c r="Z61" s="180">
        <v>4.0</v>
      </c>
      <c r="AA61" s="176"/>
      <c r="AB61" s="180"/>
      <c r="AC61" s="180">
        <v>4.0</v>
      </c>
      <c r="AD61" s="180"/>
      <c r="AE61" s="180">
        <v>4.0</v>
      </c>
      <c r="AF61" s="180"/>
      <c r="AG61" s="176"/>
      <c r="AH61" s="176"/>
      <c r="AI61" s="181"/>
      <c r="AJ61" s="209"/>
      <c r="AK61" s="261">
        <v>5.0</v>
      </c>
      <c r="AL61" s="261">
        <v>5.0</v>
      </c>
      <c r="AM61" s="180"/>
      <c r="AN61" s="176"/>
      <c r="AO61" s="180"/>
      <c r="AP61" s="261">
        <v>5.0</v>
      </c>
      <c r="AQ61" s="176"/>
      <c r="AR61" s="176"/>
      <c r="AS61" s="244"/>
      <c r="AT61" s="181"/>
      <c r="AU61" s="180">
        <f t="shared" si="10"/>
        <v>0</v>
      </c>
    </row>
    <row r="62">
      <c r="A62" s="181"/>
      <c r="B62" s="165"/>
      <c r="C62" s="206">
        <f>Input!C61</f>
        <v>0.8709677419</v>
      </c>
      <c r="D62" s="193">
        <f>Input!B61</f>
        <v>67.5</v>
      </c>
      <c r="E62" s="27">
        <f>Input!C75</f>
        <v>22</v>
      </c>
      <c r="F62" s="265">
        <v>45384.0</v>
      </c>
      <c r="G62" s="196">
        <v>0.95</v>
      </c>
      <c r="H62" s="197">
        <f>MROUND($D62*G62,Input!$B$6)</f>
        <v>65</v>
      </c>
      <c r="I62" s="198">
        <v>0.85</v>
      </c>
      <c r="J62" s="199">
        <f>MROUND($D62*I62,Input!$B$6)</f>
        <v>57.5</v>
      </c>
      <c r="K62" s="198">
        <v>1.1</v>
      </c>
      <c r="L62" s="264">
        <f>MROUND($D62*K62,Input!$B$6)</f>
        <v>75</v>
      </c>
      <c r="M62" s="207" t="str">
        <f t="shared" si="9"/>
        <v>± 2,5kg</v>
      </c>
      <c r="N62" s="176"/>
      <c r="O62" s="176"/>
      <c r="P62" s="238">
        <v>2.0</v>
      </c>
      <c r="Q62" s="238">
        <v>3.0</v>
      </c>
      <c r="R62" s="176"/>
      <c r="S62" s="176"/>
      <c r="T62" s="176"/>
      <c r="U62" s="176"/>
      <c r="V62" s="176"/>
      <c r="W62" s="176"/>
      <c r="X62" s="181"/>
      <c r="Y62" s="209"/>
      <c r="Z62" s="176"/>
      <c r="AA62" s="180">
        <v>3.0</v>
      </c>
      <c r="AB62" s="180"/>
      <c r="AC62" s="180"/>
      <c r="AD62" s="180">
        <v>3.0</v>
      </c>
      <c r="AE62" s="180"/>
      <c r="AF62" s="180">
        <v>3.0</v>
      </c>
      <c r="AG62" s="180"/>
      <c r="AH62" s="176"/>
      <c r="AI62" s="181"/>
      <c r="AJ62" s="209"/>
      <c r="AK62" s="176"/>
      <c r="AL62" s="180"/>
      <c r="AM62" s="261">
        <v>4.0</v>
      </c>
      <c r="AN62" s="261">
        <v>4.0</v>
      </c>
      <c r="AO62" s="176"/>
      <c r="AP62" s="176"/>
      <c r="AQ62" s="176"/>
      <c r="AR62" s="176"/>
      <c r="AS62" s="244"/>
      <c r="AT62" s="181"/>
      <c r="AU62" s="180">
        <f t="shared" si="10"/>
        <v>0</v>
      </c>
    </row>
    <row r="63">
      <c r="A63" s="181"/>
      <c r="B63" s="165"/>
      <c r="C63" s="206">
        <f>Input!C62</f>
        <v>0.935483871</v>
      </c>
      <c r="D63" s="193">
        <f>Input!B62</f>
        <v>72.5</v>
      </c>
      <c r="E63" s="27">
        <f>Input!C76</f>
        <v>1</v>
      </c>
      <c r="F63" s="266">
        <v>1.0</v>
      </c>
      <c r="G63" s="196">
        <v>0.95</v>
      </c>
      <c r="H63" s="197">
        <f>MROUND($D63*G63,Input!$B$6)</f>
        <v>70</v>
      </c>
      <c r="I63" s="198">
        <v>0.85</v>
      </c>
      <c r="J63" s="199">
        <f>MROUND($D63*I63,Input!$B$6)</f>
        <v>62.5</v>
      </c>
      <c r="K63" s="198">
        <v>1.1</v>
      </c>
      <c r="L63" s="264">
        <f>MROUND($D63*K63,Input!$B$6)</f>
        <v>80</v>
      </c>
      <c r="M63" s="207" t="str">
        <f t="shared" si="9"/>
        <v>± 2,5kg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81"/>
      <c r="Y63" s="209"/>
      <c r="Z63" s="176"/>
      <c r="AA63" s="176"/>
      <c r="AB63" s="180">
        <v>1.0</v>
      </c>
      <c r="AC63" s="176"/>
      <c r="AD63" s="180"/>
      <c r="AE63" s="176"/>
      <c r="AF63" s="176"/>
      <c r="AG63" s="176"/>
      <c r="AH63" s="176"/>
      <c r="AI63" s="181"/>
      <c r="AJ63" s="209"/>
      <c r="AK63" s="176"/>
      <c r="AL63" s="176"/>
      <c r="AM63" s="180"/>
      <c r="AN63" s="176"/>
      <c r="AO63" s="176"/>
      <c r="AP63" s="176"/>
      <c r="AQ63" s="176"/>
      <c r="AR63" s="176"/>
      <c r="AS63" s="244"/>
      <c r="AT63" s="181"/>
      <c r="AU63" s="180">
        <f t="shared" si="10"/>
        <v>0</v>
      </c>
    </row>
    <row r="64">
      <c r="A64" s="181"/>
      <c r="B64" s="165"/>
      <c r="C64" s="213">
        <f>Input!C63</f>
        <v>0.9677419355</v>
      </c>
      <c r="D64" s="276">
        <f>Input!B63</f>
        <v>75</v>
      </c>
      <c r="E64" s="34">
        <f>Input!C77</f>
        <v>0</v>
      </c>
      <c r="F64" s="268">
        <v>1.0</v>
      </c>
      <c r="G64" s="215"/>
      <c r="H64" s="215"/>
      <c r="I64" s="216"/>
      <c r="J64" s="215"/>
      <c r="K64" s="251">
        <v>1.1</v>
      </c>
      <c r="L64" s="269">
        <f>MROUND($D64*K64,Input!$B$6)</f>
        <v>82.5</v>
      </c>
      <c r="M64" s="214" t="str">
        <f t="shared" si="9"/>
        <v>± 2,5kg</v>
      </c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185"/>
      <c r="Y64" s="216"/>
      <c r="Z64" s="215"/>
      <c r="AA64" s="215"/>
      <c r="AB64" s="215"/>
      <c r="AC64" s="215"/>
      <c r="AD64" s="215"/>
      <c r="AE64" s="215"/>
      <c r="AF64" s="215"/>
      <c r="AG64" s="215"/>
      <c r="AH64" s="215"/>
      <c r="AI64" s="185"/>
      <c r="AJ64" s="216"/>
      <c r="AK64" s="215"/>
      <c r="AL64" s="215"/>
      <c r="AM64" s="215"/>
      <c r="AN64" s="215"/>
      <c r="AO64" s="215"/>
      <c r="AP64" s="215"/>
      <c r="AQ64" s="215"/>
      <c r="AR64" s="215"/>
      <c r="AS64" s="217"/>
      <c r="AT64" s="185"/>
      <c r="AU64" s="180">
        <f t="shared" si="10"/>
        <v>0</v>
      </c>
    </row>
    <row r="65">
      <c r="A65" s="181"/>
      <c r="B65" s="165"/>
      <c r="C65" s="270" t="s">
        <v>110</v>
      </c>
      <c r="L65" s="166"/>
      <c r="M65" s="219"/>
      <c r="N65" s="220"/>
      <c r="O65" s="221"/>
      <c r="P65" s="221"/>
      <c r="Q65" s="221"/>
      <c r="R65" s="221"/>
      <c r="S65" s="221"/>
      <c r="T65" s="221"/>
      <c r="U65" s="221"/>
      <c r="V65" s="221"/>
      <c r="W65" s="222"/>
      <c r="X65" s="227">
        <f>Input!C83</f>
        <v>21</v>
      </c>
      <c r="Y65" s="220"/>
      <c r="Z65" s="221"/>
      <c r="AA65" s="221"/>
      <c r="AB65" s="221"/>
      <c r="AC65" s="221"/>
      <c r="AD65" s="221"/>
      <c r="AE65" s="221"/>
      <c r="AF65" s="221"/>
      <c r="AG65" s="221"/>
      <c r="AH65" s="222"/>
      <c r="AI65" s="227">
        <f>Input!C84</f>
        <v>27</v>
      </c>
      <c r="AJ65" s="220"/>
      <c r="AK65" s="221"/>
      <c r="AL65" s="221"/>
      <c r="AM65" s="221"/>
      <c r="AN65" s="221"/>
      <c r="AO65" s="221"/>
      <c r="AP65" s="221"/>
      <c r="AQ65" s="221"/>
      <c r="AR65" s="221"/>
      <c r="AS65" s="222"/>
      <c r="AT65" s="227">
        <f>Input!C85</f>
        <v>35</v>
      </c>
      <c r="AU65" s="180"/>
    </row>
    <row r="66">
      <c r="A66" s="185"/>
      <c r="B66" s="171"/>
      <c r="C66" s="171"/>
      <c r="D66" s="137"/>
      <c r="E66" s="137"/>
      <c r="F66" s="137"/>
      <c r="G66" s="137"/>
      <c r="H66" s="137"/>
      <c r="I66" s="137"/>
      <c r="J66" s="137"/>
      <c r="K66" s="137"/>
      <c r="L66" s="138"/>
      <c r="M66" s="228"/>
      <c r="N66" s="216"/>
      <c r="O66" s="215"/>
      <c r="P66" s="215"/>
      <c r="Q66" s="215"/>
      <c r="R66" s="215"/>
      <c r="S66" s="215"/>
      <c r="T66" s="215"/>
      <c r="U66" s="215"/>
      <c r="V66" s="215"/>
      <c r="W66" s="217"/>
      <c r="X66" s="233">
        <f>Input!C90</f>
        <v>33</v>
      </c>
      <c r="Y66" s="216"/>
      <c r="Z66" s="215"/>
      <c r="AA66" s="215"/>
      <c r="AB66" s="215"/>
      <c r="AC66" s="215"/>
      <c r="AD66" s="215"/>
      <c r="AE66" s="215"/>
      <c r="AF66" s="215"/>
      <c r="AG66" s="215"/>
      <c r="AH66" s="217"/>
      <c r="AI66" s="233">
        <f>Input!C91</f>
        <v>50</v>
      </c>
      <c r="AJ66" s="216"/>
      <c r="AK66" s="215"/>
      <c r="AL66" s="215"/>
      <c r="AM66" s="215"/>
      <c r="AN66" s="215"/>
      <c r="AO66" s="215"/>
      <c r="AP66" s="215"/>
      <c r="AQ66" s="215"/>
      <c r="AR66" s="215"/>
      <c r="AS66" s="217"/>
      <c r="AT66" s="233">
        <f>Input!C92</f>
        <v>0</v>
      </c>
      <c r="AU66" s="180"/>
    </row>
    <row r="67">
      <c r="A67" s="234">
        <v>3.0</v>
      </c>
      <c r="B67" s="191" t="str">
        <f>Input!$B$49</f>
        <v>bench press</v>
      </c>
      <c r="C67" s="192">
        <f>Input!C59</f>
        <v>0.6451612903</v>
      </c>
      <c r="D67" s="271">
        <f>Input!B59</f>
        <v>50</v>
      </c>
      <c r="E67" s="179">
        <f>Input!D73</f>
        <v>18</v>
      </c>
      <c r="F67" s="256">
        <v>45477.0</v>
      </c>
      <c r="G67" s="196">
        <v>0.95</v>
      </c>
      <c r="H67" s="197">
        <f>MROUND($D67*G67,Input!$B$6)</f>
        <v>47.5</v>
      </c>
      <c r="I67" s="198">
        <v>0.85</v>
      </c>
      <c r="J67" s="199">
        <f>MROUND($D67*I67,Input!$B$6)</f>
        <v>42.5</v>
      </c>
      <c r="K67" s="257">
        <v>1.1</v>
      </c>
      <c r="L67" s="258">
        <f>MROUND($D67*K67,Input!$B$6)</f>
        <v>55</v>
      </c>
      <c r="M67" s="194" t="str">
        <f t="shared" ref="M67:M71" si="11">M53</f>
        <v>± 2,5kg</v>
      </c>
      <c r="N67" s="238">
        <v>4.0</v>
      </c>
      <c r="O67" s="176"/>
      <c r="P67" s="180"/>
      <c r="Q67" s="180"/>
      <c r="R67" s="176"/>
      <c r="S67" s="176"/>
      <c r="T67" s="176"/>
      <c r="U67" s="176"/>
      <c r="V67" s="176"/>
      <c r="W67" s="176"/>
      <c r="X67" s="179">
        <f>SUM(N67:W71)</f>
        <v>18</v>
      </c>
      <c r="Y67" s="277">
        <v>4.0</v>
      </c>
      <c r="Z67" s="176"/>
      <c r="AA67" s="176"/>
      <c r="AB67" s="176"/>
      <c r="AC67" s="176"/>
      <c r="AD67" s="176"/>
      <c r="AE67" s="176"/>
      <c r="AF67" s="176"/>
      <c r="AG67" s="176"/>
      <c r="AH67" s="176"/>
      <c r="AI67" s="179">
        <f>SUM(Y67:AH71)</f>
        <v>23</v>
      </c>
      <c r="AJ67" s="273">
        <v>5.0</v>
      </c>
      <c r="AK67" s="221"/>
      <c r="AL67" s="221"/>
      <c r="AM67" s="221"/>
      <c r="AN67" s="275">
        <v>5.0</v>
      </c>
      <c r="AO67" s="221"/>
      <c r="AP67" s="221"/>
      <c r="AQ67" s="221"/>
      <c r="AR67" s="221"/>
      <c r="AS67" s="222"/>
      <c r="AT67" s="179">
        <f>SUM(AJ67:AS71)</f>
        <v>29</v>
      </c>
      <c r="AU67" s="180">
        <f t="shared" ref="AU67:AU71" si="12">E67-SUM(N67:W67)-SUM(Y67:AH67)-SUM(AJ67:AS67)</f>
        <v>0</v>
      </c>
    </row>
    <row r="68">
      <c r="A68" s="181"/>
      <c r="B68" s="165"/>
      <c r="C68" s="206">
        <f>Input!C60</f>
        <v>0.7741935484</v>
      </c>
      <c r="D68" s="193">
        <f>Input!B60</f>
        <v>60</v>
      </c>
      <c r="E68" s="184">
        <f>Input!D74</f>
        <v>32</v>
      </c>
      <c r="F68" s="263">
        <v>45446.0</v>
      </c>
      <c r="G68" s="196">
        <v>0.95</v>
      </c>
      <c r="H68" s="197">
        <f>MROUND($D68*G68,Input!$B$6)</f>
        <v>57.5</v>
      </c>
      <c r="I68" s="198">
        <v>0.85</v>
      </c>
      <c r="J68" s="199">
        <f>MROUND($D68*I68,Input!$B$6)</f>
        <v>50</v>
      </c>
      <c r="K68" s="198">
        <v>1.1</v>
      </c>
      <c r="L68" s="264">
        <f>MROUND($D68*K68,Input!$B$6)</f>
        <v>65</v>
      </c>
      <c r="M68" s="207" t="str">
        <f t="shared" si="11"/>
        <v>± 2,5kg</v>
      </c>
      <c r="N68" s="176"/>
      <c r="O68" s="238">
        <v>4.0</v>
      </c>
      <c r="P68" s="176"/>
      <c r="Q68" s="238">
        <v>4.0</v>
      </c>
      <c r="R68" s="176"/>
      <c r="S68" s="176"/>
      <c r="T68" s="176"/>
      <c r="U68" s="176"/>
      <c r="V68" s="176"/>
      <c r="W68" s="176"/>
      <c r="X68" s="181"/>
      <c r="Y68" s="209"/>
      <c r="Z68" s="278">
        <v>4.0</v>
      </c>
      <c r="AA68" s="176"/>
      <c r="AB68" s="176"/>
      <c r="AC68" s="176"/>
      <c r="AD68" s="176"/>
      <c r="AE68" s="176"/>
      <c r="AF68" s="278">
        <v>4.0</v>
      </c>
      <c r="AG68" s="176"/>
      <c r="AH68" s="176"/>
      <c r="AI68" s="181"/>
      <c r="AJ68" s="209"/>
      <c r="AK68" s="261">
        <v>4.0</v>
      </c>
      <c r="AL68" s="261">
        <v>4.0</v>
      </c>
      <c r="AM68" s="180"/>
      <c r="AN68" s="176"/>
      <c r="AO68" s="261">
        <v>4.0</v>
      </c>
      <c r="AP68" s="261">
        <v>4.0</v>
      </c>
      <c r="AQ68" s="176"/>
      <c r="AR68" s="176"/>
      <c r="AS68" s="244"/>
      <c r="AT68" s="181"/>
      <c r="AU68" s="180">
        <f t="shared" si="12"/>
        <v>0</v>
      </c>
    </row>
    <row r="69">
      <c r="A69" s="181"/>
      <c r="B69" s="165"/>
      <c r="C69" s="206">
        <f>Input!C61</f>
        <v>0.8709677419</v>
      </c>
      <c r="D69" s="193">
        <f>Input!B61</f>
        <v>67.5</v>
      </c>
      <c r="E69" s="184">
        <f>Input!D75</f>
        <v>19</v>
      </c>
      <c r="F69" s="265">
        <v>45384.0</v>
      </c>
      <c r="G69" s="196">
        <v>0.95</v>
      </c>
      <c r="H69" s="197">
        <f>MROUND($D69*G69,Input!$B$6)</f>
        <v>65</v>
      </c>
      <c r="I69" s="198">
        <v>0.85</v>
      </c>
      <c r="J69" s="199">
        <f>MROUND($D69*I69,Input!$B$6)</f>
        <v>57.5</v>
      </c>
      <c r="K69" s="198">
        <v>1.1</v>
      </c>
      <c r="L69" s="264">
        <f>MROUND($D69*K69,Input!$B$6)</f>
        <v>75</v>
      </c>
      <c r="M69" s="207" t="str">
        <f t="shared" si="11"/>
        <v>± 2,5kg</v>
      </c>
      <c r="N69" s="176"/>
      <c r="O69" s="176"/>
      <c r="P69" s="238">
        <v>3.0</v>
      </c>
      <c r="Q69" s="180"/>
      <c r="R69" s="238">
        <v>3.0</v>
      </c>
      <c r="S69" s="176"/>
      <c r="T69" s="176"/>
      <c r="U69" s="176"/>
      <c r="V69" s="176"/>
      <c r="W69" s="176"/>
      <c r="X69" s="181"/>
      <c r="Y69" s="209"/>
      <c r="Z69" s="176"/>
      <c r="AA69" s="278">
        <v>2.0</v>
      </c>
      <c r="AB69" s="180"/>
      <c r="AC69" s="278">
        <v>3.0</v>
      </c>
      <c r="AD69" s="278">
        <v>2.0</v>
      </c>
      <c r="AE69" s="278">
        <v>3.0</v>
      </c>
      <c r="AF69" s="180"/>
      <c r="AG69" s="176"/>
      <c r="AH69" s="176"/>
      <c r="AI69" s="181"/>
      <c r="AJ69" s="209"/>
      <c r="AK69" s="176"/>
      <c r="AL69" s="180"/>
      <c r="AM69" s="261">
        <v>3.0</v>
      </c>
      <c r="AN69" s="180"/>
      <c r="AO69" s="180"/>
      <c r="AP69" s="176"/>
      <c r="AQ69" s="176"/>
      <c r="AR69" s="176"/>
      <c r="AS69" s="244"/>
      <c r="AT69" s="181"/>
      <c r="AU69" s="180">
        <f t="shared" si="12"/>
        <v>0</v>
      </c>
    </row>
    <row r="70">
      <c r="A70" s="181"/>
      <c r="B70" s="165"/>
      <c r="C70" s="206">
        <f>Input!C62</f>
        <v>0.935483871</v>
      </c>
      <c r="D70" s="193">
        <f>Input!B62</f>
        <v>72.5</v>
      </c>
      <c r="E70" s="184">
        <f>Input!D76</f>
        <v>1</v>
      </c>
      <c r="F70" s="266">
        <v>1.0</v>
      </c>
      <c r="G70" s="196">
        <v>0.95</v>
      </c>
      <c r="H70" s="197">
        <f>MROUND($D70*G70,Input!$B$6)</f>
        <v>70</v>
      </c>
      <c r="I70" s="198">
        <v>0.85</v>
      </c>
      <c r="J70" s="199">
        <f>MROUND($D70*I70,Input!$B$6)</f>
        <v>62.5</v>
      </c>
      <c r="K70" s="198">
        <v>1.1</v>
      </c>
      <c r="L70" s="264">
        <f>MROUND($D70*K70,Input!$B$6)</f>
        <v>80</v>
      </c>
      <c r="M70" s="207" t="str">
        <f t="shared" si="11"/>
        <v>± 2,5kg</v>
      </c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81"/>
      <c r="Y70" s="209"/>
      <c r="Z70" s="176"/>
      <c r="AA70" s="176"/>
      <c r="AB70" s="278">
        <v>1.0</v>
      </c>
      <c r="AC70" s="176"/>
      <c r="AD70" s="243"/>
      <c r="AE70" s="176"/>
      <c r="AF70" s="180"/>
      <c r="AG70" s="176"/>
      <c r="AH70" s="176"/>
      <c r="AI70" s="181"/>
      <c r="AJ70" s="209"/>
      <c r="AK70" s="176"/>
      <c r="AL70" s="176"/>
      <c r="AM70" s="176"/>
      <c r="AN70" s="176"/>
      <c r="AO70" s="176"/>
      <c r="AP70" s="176"/>
      <c r="AQ70" s="176"/>
      <c r="AR70" s="176"/>
      <c r="AS70" s="244"/>
      <c r="AT70" s="181"/>
      <c r="AU70" s="180">
        <f t="shared" si="12"/>
        <v>0</v>
      </c>
    </row>
    <row r="71">
      <c r="A71" s="181"/>
      <c r="B71" s="165"/>
      <c r="C71" s="213">
        <f>Input!C63</f>
        <v>0.9677419355</v>
      </c>
      <c r="D71" s="276">
        <f>Input!B63</f>
        <v>75</v>
      </c>
      <c r="E71" s="247">
        <f>Input!D77</f>
        <v>0</v>
      </c>
      <c r="F71" s="268">
        <v>1.0</v>
      </c>
      <c r="G71" s="215"/>
      <c r="H71" s="215"/>
      <c r="I71" s="216"/>
      <c r="J71" s="215"/>
      <c r="K71" s="251">
        <v>1.1</v>
      </c>
      <c r="L71" s="269">
        <f>MROUND($D71*K71,Input!$B$6)</f>
        <v>82.5</v>
      </c>
      <c r="M71" s="214" t="str">
        <f t="shared" si="11"/>
        <v>± 2,5kg</v>
      </c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185"/>
      <c r="Y71" s="216"/>
      <c r="Z71" s="215"/>
      <c r="AA71" s="215"/>
      <c r="AB71" s="215"/>
      <c r="AC71" s="180"/>
      <c r="AD71" s="215"/>
      <c r="AE71" s="215"/>
      <c r="AF71" s="215"/>
      <c r="AG71" s="215"/>
      <c r="AH71" s="215"/>
      <c r="AI71" s="185"/>
      <c r="AJ71" s="216"/>
      <c r="AK71" s="215"/>
      <c r="AL71" s="215"/>
      <c r="AM71" s="215"/>
      <c r="AN71" s="215"/>
      <c r="AO71" s="215"/>
      <c r="AP71" s="215"/>
      <c r="AQ71" s="215"/>
      <c r="AR71" s="215"/>
      <c r="AS71" s="217"/>
      <c r="AT71" s="185"/>
      <c r="AU71" s="180">
        <f t="shared" si="12"/>
        <v>0</v>
      </c>
    </row>
    <row r="72">
      <c r="A72" s="181"/>
      <c r="B72" s="165"/>
      <c r="C72" s="270" t="s">
        <v>110</v>
      </c>
      <c r="L72" s="166"/>
      <c r="M72" s="219"/>
      <c r="N72" s="220"/>
      <c r="O72" s="221"/>
      <c r="P72" s="221"/>
      <c r="Q72" s="221"/>
      <c r="R72" s="221"/>
      <c r="S72" s="221"/>
      <c r="T72" s="221"/>
      <c r="U72" s="221"/>
      <c r="V72" s="221"/>
      <c r="W72" s="222"/>
      <c r="X72" s="227">
        <f>Input!D83</f>
        <v>18</v>
      </c>
      <c r="Y72" s="220"/>
      <c r="Z72" s="221"/>
      <c r="AA72" s="221"/>
      <c r="AB72" s="221"/>
      <c r="AC72" s="221"/>
      <c r="AD72" s="221"/>
      <c r="AE72" s="221"/>
      <c r="AF72" s="221"/>
      <c r="AG72" s="221"/>
      <c r="AH72" s="222"/>
      <c r="AI72" s="227">
        <f>Input!D84</f>
        <v>23</v>
      </c>
      <c r="AJ72" s="220"/>
      <c r="AK72" s="221"/>
      <c r="AL72" s="221"/>
      <c r="AM72" s="221"/>
      <c r="AN72" s="221"/>
      <c r="AO72" s="221"/>
      <c r="AP72" s="221"/>
      <c r="AQ72" s="221"/>
      <c r="AR72" s="221"/>
      <c r="AS72" s="222"/>
      <c r="AT72" s="227">
        <f>Input!D85</f>
        <v>29</v>
      </c>
      <c r="AU72" s="180"/>
    </row>
    <row r="73">
      <c r="A73" s="185"/>
      <c r="B73" s="171"/>
      <c r="C73" s="171"/>
      <c r="D73" s="137"/>
      <c r="E73" s="137"/>
      <c r="F73" s="137"/>
      <c r="G73" s="137"/>
      <c r="H73" s="137"/>
      <c r="I73" s="137"/>
      <c r="J73" s="137"/>
      <c r="K73" s="137"/>
      <c r="L73" s="138"/>
      <c r="M73" s="228"/>
      <c r="N73" s="216"/>
      <c r="O73" s="215"/>
      <c r="P73" s="215"/>
      <c r="Q73" s="215"/>
      <c r="R73" s="215"/>
      <c r="S73" s="215"/>
      <c r="T73" s="215"/>
      <c r="U73" s="215"/>
      <c r="V73" s="215"/>
      <c r="W73" s="217"/>
      <c r="X73" s="233">
        <f>Input!D90</f>
        <v>28</v>
      </c>
      <c r="Y73" s="216"/>
      <c r="Z73" s="215"/>
      <c r="AA73" s="215"/>
      <c r="AB73" s="215"/>
      <c r="AC73" s="215"/>
      <c r="AD73" s="215"/>
      <c r="AE73" s="215"/>
      <c r="AF73" s="215"/>
      <c r="AG73" s="215"/>
      <c r="AH73" s="217"/>
      <c r="AI73" s="233">
        <f>Input!D91</f>
        <v>42</v>
      </c>
      <c r="AJ73" s="216"/>
      <c r="AK73" s="215"/>
      <c r="AL73" s="215"/>
      <c r="AM73" s="215"/>
      <c r="AN73" s="215"/>
      <c r="AO73" s="215"/>
      <c r="AP73" s="215"/>
      <c r="AQ73" s="215"/>
      <c r="AR73" s="215"/>
      <c r="AS73" s="217"/>
      <c r="AT73" s="233">
        <f>Input!D92</f>
        <v>0</v>
      </c>
      <c r="AU73" s="180"/>
    </row>
    <row r="74">
      <c r="A74" s="234">
        <v>4.0</v>
      </c>
      <c r="B74" s="191" t="str">
        <f>Input!$B$49</f>
        <v>bench press</v>
      </c>
      <c r="C74" s="192">
        <f>Input!C59</f>
        <v>0.6451612903</v>
      </c>
      <c r="D74" s="271">
        <f>Input!B59</f>
        <v>50</v>
      </c>
      <c r="E74" s="194">
        <f>Input!E73</f>
        <v>14</v>
      </c>
      <c r="F74" s="256">
        <v>45477.0</v>
      </c>
      <c r="G74" s="196">
        <v>1.0</v>
      </c>
      <c r="H74" s="197">
        <f>MROUND($D74*G74,Input!$B$6)</f>
        <v>50</v>
      </c>
      <c r="I74" s="198">
        <v>0.95</v>
      </c>
      <c r="J74" s="199">
        <f>MROUND($D74*I74,Input!$B$6)</f>
        <v>47.5</v>
      </c>
      <c r="K74" s="257">
        <v>1.1</v>
      </c>
      <c r="L74" s="258">
        <f>MROUND($D74*K74,Input!$B$6)</f>
        <v>55</v>
      </c>
      <c r="M74" s="194" t="str">
        <f t="shared" ref="M74:M78" si="13">M53</f>
        <v>± 2,5kg</v>
      </c>
      <c r="N74" s="238">
        <v>5.0</v>
      </c>
      <c r="O74" s="176"/>
      <c r="P74" s="180"/>
      <c r="Q74" s="180"/>
      <c r="R74" s="180"/>
      <c r="S74" s="176"/>
      <c r="T74" s="176"/>
      <c r="U74" s="176"/>
      <c r="V74" s="176"/>
      <c r="W74" s="176"/>
      <c r="X74" s="179">
        <f>SUM(N74:W78)</f>
        <v>14</v>
      </c>
      <c r="Y74" s="259">
        <v>4.0</v>
      </c>
      <c r="Z74" s="176"/>
      <c r="AA74" s="176"/>
      <c r="AB74" s="180"/>
      <c r="AC74" s="176"/>
      <c r="AD74" s="176"/>
      <c r="AE74" s="180"/>
      <c r="AF74" s="176"/>
      <c r="AG74" s="176"/>
      <c r="AH74" s="180"/>
      <c r="AI74" s="179">
        <f>SUM(Y74:AH78)</f>
        <v>18</v>
      </c>
      <c r="AJ74" s="273">
        <v>5.0</v>
      </c>
      <c r="AK74" s="221"/>
      <c r="AL74" s="221"/>
      <c r="AM74" s="274"/>
      <c r="AN74" s="221"/>
      <c r="AO74" s="274"/>
      <c r="AP74" s="274"/>
      <c r="AQ74" s="221"/>
      <c r="AR74" s="221"/>
      <c r="AS74" s="222"/>
      <c r="AT74" s="179">
        <f>SUM(AJ74:AS78)</f>
        <v>24</v>
      </c>
      <c r="AU74" s="180">
        <f t="shared" ref="AU74:AU78" si="14">E74-SUM(N74:W74)-SUM(Y74:AH74)-SUM(AJ74:AS74)</f>
        <v>0</v>
      </c>
    </row>
    <row r="75">
      <c r="A75" s="181"/>
      <c r="B75" s="165"/>
      <c r="C75" s="206">
        <f>Input!C60</f>
        <v>0.7741935484</v>
      </c>
      <c r="D75" s="193">
        <f>Input!B60</f>
        <v>60</v>
      </c>
      <c r="E75" s="207">
        <f>Input!E74</f>
        <v>25</v>
      </c>
      <c r="F75" s="263">
        <v>45446.0</v>
      </c>
      <c r="G75" s="196">
        <v>1.0</v>
      </c>
      <c r="H75" s="197">
        <f>MROUND($D75*G75,Input!$B$6)</f>
        <v>60</v>
      </c>
      <c r="I75" s="198">
        <v>0.95</v>
      </c>
      <c r="J75" s="199">
        <f>MROUND($D75*I75,Input!$B$6)</f>
        <v>57.5</v>
      </c>
      <c r="K75" s="198">
        <v>1.1</v>
      </c>
      <c r="L75" s="264">
        <f>MROUND($D75*K75,Input!$B$6)</f>
        <v>65</v>
      </c>
      <c r="M75" s="207" t="str">
        <f t="shared" si="13"/>
        <v>± 2,5kg</v>
      </c>
      <c r="N75" s="176"/>
      <c r="O75" s="238">
        <v>5.0</v>
      </c>
      <c r="P75" s="238">
        <v>4.0</v>
      </c>
      <c r="Q75" s="180"/>
      <c r="R75" s="176"/>
      <c r="S75" s="180"/>
      <c r="T75" s="180"/>
      <c r="U75" s="176"/>
      <c r="V75" s="176"/>
      <c r="W75" s="176"/>
      <c r="X75" s="181"/>
      <c r="Y75" s="209"/>
      <c r="Z75" s="180">
        <v>4.0</v>
      </c>
      <c r="AA75" s="176"/>
      <c r="AB75" s="180"/>
      <c r="AC75" s="180"/>
      <c r="AD75" s="279"/>
      <c r="AE75" s="279"/>
      <c r="AF75" s="155"/>
      <c r="AG75" s="176"/>
      <c r="AH75" s="180"/>
      <c r="AI75" s="181"/>
      <c r="AJ75" s="209"/>
      <c r="AK75" s="261">
        <v>4.0</v>
      </c>
      <c r="AL75" s="261">
        <v>4.0</v>
      </c>
      <c r="AM75" s="180"/>
      <c r="AN75" s="180"/>
      <c r="AO75" s="180"/>
      <c r="AP75" s="261">
        <v>4.0</v>
      </c>
      <c r="AQ75" s="180"/>
      <c r="AR75" s="180"/>
      <c r="AS75" s="244"/>
      <c r="AT75" s="181"/>
      <c r="AU75" s="180">
        <f t="shared" si="14"/>
        <v>0</v>
      </c>
    </row>
    <row r="76">
      <c r="A76" s="181"/>
      <c r="B76" s="165"/>
      <c r="C76" s="206">
        <f>Input!C61</f>
        <v>0.8709677419</v>
      </c>
      <c r="D76" s="193">
        <f>Input!B61</f>
        <v>67.5</v>
      </c>
      <c r="E76" s="207">
        <f>Input!E75</f>
        <v>15</v>
      </c>
      <c r="F76" s="265">
        <v>45384.0</v>
      </c>
      <c r="G76" s="196">
        <v>1.0</v>
      </c>
      <c r="H76" s="197">
        <f>MROUND($D76*G76,Input!$B$6)</f>
        <v>67.5</v>
      </c>
      <c r="I76" s="198">
        <v>0.95</v>
      </c>
      <c r="J76" s="199">
        <f>MROUND($D76*I76,Input!$B$6)</f>
        <v>65</v>
      </c>
      <c r="K76" s="198">
        <v>1.1</v>
      </c>
      <c r="L76" s="264">
        <f>MROUND($D76*K76,Input!$B$6)</f>
        <v>75</v>
      </c>
      <c r="M76" s="207" t="str">
        <f t="shared" si="13"/>
        <v>± 2,5kg</v>
      </c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81"/>
      <c r="Y76" s="209"/>
      <c r="Z76" s="176"/>
      <c r="AA76" s="278">
        <v>2.0</v>
      </c>
      <c r="AB76" s="180"/>
      <c r="AC76" s="180"/>
      <c r="AD76" s="278">
        <v>3.0</v>
      </c>
      <c r="AE76" s="278">
        <v>3.0</v>
      </c>
      <c r="AF76" s="155"/>
      <c r="AG76" s="180"/>
      <c r="AH76" s="176"/>
      <c r="AI76" s="181"/>
      <c r="AJ76" s="209"/>
      <c r="AK76" s="176"/>
      <c r="AL76" s="243"/>
      <c r="AM76" s="261">
        <v>2.0</v>
      </c>
      <c r="AN76" s="261">
        <v>3.0</v>
      </c>
      <c r="AO76" s="261">
        <v>2.0</v>
      </c>
      <c r="AP76" s="176"/>
      <c r="AQ76" s="176"/>
      <c r="AR76" s="176"/>
      <c r="AS76" s="244"/>
      <c r="AT76" s="181"/>
      <c r="AU76" s="180">
        <f t="shared" si="14"/>
        <v>0</v>
      </c>
    </row>
    <row r="77">
      <c r="A77" s="181"/>
      <c r="B77" s="165"/>
      <c r="C77" s="206">
        <f>Input!C62</f>
        <v>0.935483871</v>
      </c>
      <c r="D77" s="193">
        <f>Input!B62</f>
        <v>72.5</v>
      </c>
      <c r="E77" s="207">
        <f>Input!E76</f>
        <v>1</v>
      </c>
      <c r="F77" s="266">
        <v>1.0</v>
      </c>
      <c r="G77" s="196">
        <v>1.0</v>
      </c>
      <c r="H77" s="197">
        <f>MROUND($D77*G77,Input!$B$6)</f>
        <v>72.5</v>
      </c>
      <c r="I77" s="198">
        <v>0.95</v>
      </c>
      <c r="J77" s="199">
        <f>MROUND($D77*I77,Input!$B$6)</f>
        <v>70</v>
      </c>
      <c r="K77" s="198">
        <v>1.1</v>
      </c>
      <c r="L77" s="264">
        <f>MROUND($D77*K77,Input!$B$6)</f>
        <v>80</v>
      </c>
      <c r="M77" s="207" t="str">
        <f t="shared" si="13"/>
        <v>± 2,5kg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81"/>
      <c r="Y77" s="209"/>
      <c r="Z77" s="176"/>
      <c r="AA77" s="176"/>
      <c r="AB77" s="278">
        <v>1.0</v>
      </c>
      <c r="AC77" s="180"/>
      <c r="AD77" s="180"/>
      <c r="AE77" s="176"/>
      <c r="AF77" s="176"/>
      <c r="AG77" s="176"/>
      <c r="AH77" s="176"/>
      <c r="AI77" s="181"/>
      <c r="AJ77" s="209"/>
      <c r="AK77" s="176"/>
      <c r="AL77" s="176"/>
      <c r="AM77" s="180"/>
      <c r="AN77" s="176"/>
      <c r="AO77" s="176"/>
      <c r="AP77" s="176"/>
      <c r="AQ77" s="176"/>
      <c r="AR77" s="176"/>
      <c r="AS77" s="244"/>
      <c r="AT77" s="181"/>
      <c r="AU77" s="180">
        <f t="shared" si="14"/>
        <v>0</v>
      </c>
    </row>
    <row r="78">
      <c r="A78" s="181"/>
      <c r="B78" s="165"/>
      <c r="C78" s="213">
        <f>Input!C63</f>
        <v>0.9677419355</v>
      </c>
      <c r="D78" s="276">
        <f>Input!B63</f>
        <v>75</v>
      </c>
      <c r="E78" s="214">
        <f>Input!E77</f>
        <v>1</v>
      </c>
      <c r="F78" s="268">
        <v>1.0</v>
      </c>
      <c r="G78" s="215"/>
      <c r="H78" s="215"/>
      <c r="I78" s="216"/>
      <c r="J78" s="215"/>
      <c r="K78" s="251">
        <v>1.1</v>
      </c>
      <c r="L78" s="269">
        <f>MROUND($D78*K78,Input!$B$6)</f>
        <v>82.5</v>
      </c>
      <c r="M78" s="214" t="str">
        <f t="shared" si="13"/>
        <v>± 2,5kg</v>
      </c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185"/>
      <c r="Y78" s="216"/>
      <c r="Z78" s="215"/>
      <c r="AA78" s="215"/>
      <c r="AB78" s="215"/>
      <c r="AC78" s="280">
        <v>1.0</v>
      </c>
      <c r="AD78" s="215"/>
      <c r="AE78" s="215"/>
      <c r="AF78" s="215"/>
      <c r="AG78" s="215"/>
      <c r="AH78" s="215"/>
      <c r="AI78" s="185"/>
      <c r="AJ78" s="216"/>
      <c r="AK78" s="215"/>
      <c r="AL78" s="215"/>
      <c r="AM78" s="215"/>
      <c r="AN78" s="215"/>
      <c r="AO78" s="215"/>
      <c r="AP78" s="215"/>
      <c r="AQ78" s="215"/>
      <c r="AR78" s="215"/>
      <c r="AS78" s="217"/>
      <c r="AT78" s="185"/>
      <c r="AU78" s="180">
        <f t="shared" si="14"/>
        <v>0</v>
      </c>
    </row>
    <row r="79">
      <c r="A79" s="181"/>
      <c r="B79" s="165"/>
      <c r="C79" s="270" t="s">
        <v>110</v>
      </c>
      <c r="L79" s="166"/>
      <c r="M79" s="219"/>
      <c r="N79" s="220"/>
      <c r="O79" s="221"/>
      <c r="P79" s="221"/>
      <c r="Q79" s="221"/>
      <c r="R79" s="221"/>
      <c r="S79" s="221"/>
      <c r="T79" s="221"/>
      <c r="U79" s="221"/>
      <c r="V79" s="221"/>
      <c r="W79" s="222"/>
      <c r="X79" s="227">
        <f>Input!E83</f>
        <v>14</v>
      </c>
      <c r="Y79" s="220"/>
      <c r="Z79" s="221"/>
      <c r="AA79" s="221"/>
      <c r="AB79" s="221"/>
      <c r="AC79" s="221"/>
      <c r="AD79" s="221"/>
      <c r="AE79" s="221"/>
      <c r="AF79" s="221"/>
      <c r="AG79" s="221"/>
      <c r="AH79" s="222"/>
      <c r="AI79" s="227">
        <f>Input!E84</f>
        <v>18</v>
      </c>
      <c r="AJ79" s="220"/>
      <c r="AK79" s="221"/>
      <c r="AL79" s="221"/>
      <c r="AM79" s="221"/>
      <c r="AN79" s="221"/>
      <c r="AO79" s="221"/>
      <c r="AP79" s="221"/>
      <c r="AQ79" s="221"/>
      <c r="AR79" s="221"/>
      <c r="AS79" s="222"/>
      <c r="AT79" s="227">
        <f>Input!E85</f>
        <v>23</v>
      </c>
      <c r="AU79" s="180"/>
    </row>
    <row r="80">
      <c r="A80" s="185"/>
      <c r="B80" s="171"/>
      <c r="C80" s="171"/>
      <c r="D80" s="137"/>
      <c r="E80" s="137"/>
      <c r="F80" s="137"/>
      <c r="G80" s="137"/>
      <c r="H80" s="137"/>
      <c r="I80" s="137"/>
      <c r="J80" s="137"/>
      <c r="K80" s="137"/>
      <c r="L80" s="138"/>
      <c r="M80" s="228"/>
      <c r="N80" s="216"/>
      <c r="O80" s="215"/>
      <c r="P80" s="215"/>
      <c r="Q80" s="215"/>
      <c r="R80" s="215"/>
      <c r="S80" s="215"/>
      <c r="T80" s="215"/>
      <c r="U80" s="215"/>
      <c r="V80" s="215"/>
      <c r="W80" s="217"/>
      <c r="X80" s="233">
        <f>Input!E90</f>
        <v>22</v>
      </c>
      <c r="Y80" s="216"/>
      <c r="Z80" s="215"/>
      <c r="AA80" s="215"/>
      <c r="AB80" s="215"/>
      <c r="AC80" s="215"/>
      <c r="AD80" s="215"/>
      <c r="AE80" s="215"/>
      <c r="AF80" s="215"/>
      <c r="AG80" s="215"/>
      <c r="AH80" s="217"/>
      <c r="AI80" s="233">
        <f>Input!E91</f>
        <v>33</v>
      </c>
      <c r="AJ80" s="216"/>
      <c r="AK80" s="215"/>
      <c r="AL80" s="215"/>
      <c r="AM80" s="215"/>
      <c r="AN80" s="215"/>
      <c r="AO80" s="215"/>
      <c r="AP80" s="215"/>
      <c r="AQ80" s="215"/>
      <c r="AR80" s="215"/>
      <c r="AS80" s="217"/>
      <c r="AT80" s="233">
        <f>Input!E92</f>
        <v>0</v>
      </c>
      <c r="AU80" s="180"/>
    </row>
    <row r="81">
      <c r="A81" s="155"/>
      <c r="B81" s="155"/>
      <c r="C81" s="67"/>
      <c r="D81" s="67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</row>
    <row r="82">
      <c r="A82" s="155"/>
      <c r="B82" s="155"/>
      <c r="C82" s="67"/>
      <c r="D82" s="67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</row>
    <row r="83">
      <c r="A83" s="151" t="s">
        <v>0</v>
      </c>
      <c r="B83" s="62"/>
      <c r="C83" s="62"/>
      <c r="D83" s="62"/>
      <c r="E83" s="62"/>
      <c r="F83" s="63"/>
      <c r="G83" s="152" t="s">
        <v>79</v>
      </c>
      <c r="H83" s="62"/>
      <c r="I83" s="62"/>
      <c r="J83" s="62"/>
      <c r="K83" s="62"/>
      <c r="L83" s="63"/>
      <c r="M83" s="153"/>
      <c r="N83" s="153" t="s">
        <v>6</v>
      </c>
      <c r="O83" s="62"/>
      <c r="P83" s="152" t="s">
        <v>80</v>
      </c>
      <c r="Q83" s="62"/>
      <c r="R83" s="152" t="s">
        <v>81</v>
      </c>
      <c r="S83" s="62"/>
      <c r="T83" s="152" t="s">
        <v>82</v>
      </c>
      <c r="U83" s="62"/>
      <c r="V83" s="152" t="s">
        <v>83</v>
      </c>
      <c r="W83" s="62"/>
      <c r="X83" s="63"/>
      <c r="Y83" s="152" t="s">
        <v>32</v>
      </c>
      <c r="Z83" s="63"/>
      <c r="AA83" s="152" t="s">
        <v>84</v>
      </c>
      <c r="AB83" s="63"/>
      <c r="AC83" s="152">
        <v>8190.0</v>
      </c>
      <c r="AD83" s="63"/>
      <c r="AE83" s="154"/>
      <c r="AF83" s="154"/>
      <c r="AG83" s="154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</row>
    <row r="84">
      <c r="A84" s="156" t="str">
        <f>Input!B2</f>
        <v>Kateřina Balášová</v>
      </c>
      <c r="B84" s="62"/>
      <c r="C84" s="62"/>
      <c r="D84" s="62"/>
      <c r="E84" s="62"/>
      <c r="F84" s="63"/>
      <c r="G84" s="157" t="str">
        <f>Input!B95</f>
        <v>deadlift</v>
      </c>
      <c r="H84" s="62"/>
      <c r="I84" s="62"/>
      <c r="J84" s="62"/>
      <c r="K84" s="62"/>
      <c r="L84" s="63"/>
      <c r="M84" s="157"/>
      <c r="N84" s="158">
        <f>Input!B98</f>
        <v>165</v>
      </c>
      <c r="O84" s="62"/>
      <c r="P84" s="159">
        <f>Input!B99</f>
        <v>2.5</v>
      </c>
      <c r="Q84" s="62"/>
      <c r="R84" s="157" t="str">
        <f>Input!B97</f>
        <v>prep</v>
      </c>
      <c r="S84" s="62"/>
      <c r="T84" s="157">
        <f>Input!B102</f>
        <v>180</v>
      </c>
      <c r="U84" s="62"/>
      <c r="V84" s="157">
        <f>Input!E109+Input!E110</f>
        <v>2</v>
      </c>
      <c r="W84" s="62"/>
      <c r="X84" s="63"/>
      <c r="Y84" s="160">
        <f>Input!B112</f>
        <v>0.7504377104</v>
      </c>
      <c r="Z84" s="63"/>
      <c r="AA84" s="157" t="str">
        <f>Input!B114</f>
        <v>4-2a</v>
      </c>
      <c r="AB84" s="63"/>
      <c r="AC84" s="157" t="str">
        <f>Input!B115</f>
        <v>3c</v>
      </c>
      <c r="AD84" s="63"/>
      <c r="AE84" s="154"/>
      <c r="AF84" s="154"/>
      <c r="AG84" s="154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</row>
    <row r="85">
      <c r="A85" s="155"/>
      <c r="B85" s="155"/>
      <c r="C85" s="67"/>
      <c r="D85" s="67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</row>
    <row r="86">
      <c r="A86" s="161" t="s">
        <v>85</v>
      </c>
      <c r="B86" s="162"/>
      <c r="C86" s="162"/>
      <c r="D86" s="163"/>
      <c r="E86" s="164" t="s">
        <v>114</v>
      </c>
      <c r="F86" s="62"/>
      <c r="G86" s="62"/>
      <c r="H86" s="62"/>
      <c r="I86" s="62"/>
      <c r="J86" s="62"/>
      <c r="K86" s="62"/>
      <c r="L86" s="62"/>
      <c r="M86" s="254"/>
      <c r="N86" s="156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3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</row>
    <row r="87">
      <c r="A87" s="165"/>
      <c r="D87" s="166"/>
      <c r="E87" s="167" t="s">
        <v>115</v>
      </c>
      <c r="F87" s="162"/>
      <c r="G87" s="162"/>
      <c r="H87" s="162"/>
      <c r="I87" s="162"/>
      <c r="J87" s="162"/>
      <c r="K87" s="162"/>
      <c r="L87" s="163"/>
      <c r="M87" s="168"/>
      <c r="N87" s="156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3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</row>
    <row r="88">
      <c r="A88" s="165"/>
      <c r="D88" s="166"/>
      <c r="E88" s="169" t="s">
        <v>116</v>
      </c>
      <c r="F88" s="62"/>
      <c r="G88" s="62"/>
      <c r="H88" s="62"/>
      <c r="I88" s="62"/>
      <c r="J88" s="62"/>
      <c r="K88" s="62"/>
      <c r="L88" s="63"/>
      <c r="M88" s="170"/>
      <c r="N88" s="156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3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</row>
    <row r="89">
      <c r="A89" s="171"/>
      <c r="B89" s="137"/>
      <c r="C89" s="137"/>
      <c r="D89" s="138"/>
      <c r="E89" s="172" t="s">
        <v>117</v>
      </c>
      <c r="F89" s="137"/>
      <c r="G89" s="137"/>
      <c r="H89" s="137"/>
      <c r="I89" s="137"/>
      <c r="J89" s="137"/>
      <c r="K89" s="137"/>
      <c r="L89" s="138"/>
      <c r="M89" s="173"/>
      <c r="N89" s="156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3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</row>
    <row r="90">
      <c r="A90" s="155"/>
      <c r="B90" s="155"/>
      <c r="C90" s="67"/>
      <c r="D90" s="67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</row>
    <row r="91">
      <c r="A91" s="281" t="s">
        <v>89</v>
      </c>
      <c r="B91" s="282"/>
      <c r="C91" s="283"/>
      <c r="D91" s="284" t="s">
        <v>90</v>
      </c>
      <c r="E91" s="285"/>
      <c r="F91" s="285"/>
      <c r="G91" s="283"/>
      <c r="H91" s="284" t="s">
        <v>91</v>
      </c>
      <c r="I91" s="286"/>
      <c r="J91" s="284" t="s">
        <v>91</v>
      </c>
      <c r="K91" s="286"/>
      <c r="L91" s="284" t="s">
        <v>91</v>
      </c>
      <c r="M91" s="284" t="s">
        <v>92</v>
      </c>
      <c r="N91" s="287" t="s">
        <v>93</v>
      </c>
      <c r="O91" s="62"/>
      <c r="P91" s="62"/>
      <c r="Q91" s="62"/>
      <c r="R91" s="62"/>
      <c r="S91" s="62"/>
      <c r="T91" s="62"/>
      <c r="U91" s="62"/>
      <c r="V91" s="62"/>
      <c r="W91" s="63"/>
      <c r="X91" s="288"/>
      <c r="Y91" s="287" t="s">
        <v>94</v>
      </c>
      <c r="Z91" s="62"/>
      <c r="AA91" s="62"/>
      <c r="AB91" s="62"/>
      <c r="AC91" s="62"/>
      <c r="AD91" s="62"/>
      <c r="AE91" s="62"/>
      <c r="AF91" s="62"/>
      <c r="AG91" s="62"/>
      <c r="AH91" s="63"/>
      <c r="AI91" s="288"/>
      <c r="AJ91" s="287" t="s">
        <v>95</v>
      </c>
      <c r="AK91" s="62"/>
      <c r="AL91" s="62"/>
      <c r="AM91" s="62"/>
      <c r="AN91" s="62"/>
      <c r="AO91" s="62"/>
      <c r="AP91" s="62"/>
      <c r="AQ91" s="62"/>
      <c r="AR91" s="62"/>
      <c r="AS91" s="63"/>
      <c r="AT91" s="289"/>
      <c r="AU91" s="285"/>
    </row>
    <row r="92">
      <c r="A92" s="181"/>
      <c r="B92" s="290"/>
      <c r="C92" s="291"/>
      <c r="D92" s="166"/>
      <c r="E92" s="290"/>
      <c r="F92" s="290"/>
      <c r="G92" s="291"/>
      <c r="H92" s="166"/>
      <c r="I92" s="291"/>
      <c r="J92" s="166"/>
      <c r="K92" s="291"/>
      <c r="L92" s="166"/>
      <c r="M92" s="166"/>
      <c r="N92" s="292" t="s">
        <v>96</v>
      </c>
      <c r="O92" s="137"/>
      <c r="P92" s="137"/>
      <c r="Q92" s="137"/>
      <c r="R92" s="137"/>
      <c r="S92" s="137"/>
      <c r="T92" s="137"/>
      <c r="U92" s="137"/>
      <c r="V92" s="137"/>
      <c r="W92" s="138"/>
      <c r="X92" s="166"/>
      <c r="Y92" s="292" t="s">
        <v>96</v>
      </c>
      <c r="Z92" s="137"/>
      <c r="AA92" s="137"/>
      <c r="AB92" s="137"/>
      <c r="AC92" s="137"/>
      <c r="AD92" s="137"/>
      <c r="AE92" s="137"/>
      <c r="AF92" s="137"/>
      <c r="AG92" s="137"/>
      <c r="AH92" s="138"/>
      <c r="AI92" s="166"/>
      <c r="AJ92" s="292" t="s">
        <v>96</v>
      </c>
      <c r="AK92" s="137"/>
      <c r="AL92" s="137"/>
      <c r="AM92" s="137"/>
      <c r="AN92" s="137"/>
      <c r="AO92" s="137"/>
      <c r="AP92" s="137"/>
      <c r="AQ92" s="137"/>
      <c r="AR92" s="137"/>
      <c r="AS92" s="138"/>
      <c r="AT92" s="283"/>
      <c r="AU92" s="285"/>
    </row>
    <row r="93">
      <c r="A93" s="185"/>
      <c r="B93" s="293" t="s">
        <v>79</v>
      </c>
      <c r="C93" s="293" t="s">
        <v>97</v>
      </c>
      <c r="D93" s="138"/>
      <c r="E93" s="293" t="s">
        <v>38</v>
      </c>
      <c r="F93" s="293" t="s">
        <v>98</v>
      </c>
      <c r="G93" s="293" t="s">
        <v>99</v>
      </c>
      <c r="H93" s="138"/>
      <c r="I93" s="293" t="s">
        <v>99</v>
      </c>
      <c r="J93" s="138"/>
      <c r="K93" s="293" t="s">
        <v>99</v>
      </c>
      <c r="L93" s="138"/>
      <c r="M93" s="138"/>
      <c r="N93" s="292" t="s">
        <v>100</v>
      </c>
      <c r="O93" s="292" t="s">
        <v>101</v>
      </c>
      <c r="P93" s="292" t="s">
        <v>102</v>
      </c>
      <c r="Q93" s="292" t="s">
        <v>103</v>
      </c>
      <c r="R93" s="292" t="s">
        <v>104</v>
      </c>
      <c r="S93" s="292" t="s">
        <v>105</v>
      </c>
      <c r="T93" s="292" t="s">
        <v>106</v>
      </c>
      <c r="U93" s="292" t="s">
        <v>107</v>
      </c>
      <c r="V93" s="292" t="s">
        <v>108</v>
      </c>
      <c r="W93" s="293" t="s">
        <v>109</v>
      </c>
      <c r="X93" s="138"/>
      <c r="Y93" s="292" t="s">
        <v>100</v>
      </c>
      <c r="Z93" s="292" t="s">
        <v>101</v>
      </c>
      <c r="AA93" s="292" t="s">
        <v>102</v>
      </c>
      <c r="AB93" s="292" t="s">
        <v>103</v>
      </c>
      <c r="AC93" s="292" t="s">
        <v>104</v>
      </c>
      <c r="AD93" s="292" t="s">
        <v>105</v>
      </c>
      <c r="AE93" s="292" t="s">
        <v>106</v>
      </c>
      <c r="AF93" s="292" t="s">
        <v>107</v>
      </c>
      <c r="AG93" s="292" t="s">
        <v>108</v>
      </c>
      <c r="AH93" s="293" t="s">
        <v>109</v>
      </c>
      <c r="AI93" s="138"/>
      <c r="AJ93" s="292" t="s">
        <v>100</v>
      </c>
      <c r="AK93" s="292" t="s">
        <v>101</v>
      </c>
      <c r="AL93" s="292" t="s">
        <v>102</v>
      </c>
      <c r="AM93" s="292" t="s">
        <v>103</v>
      </c>
      <c r="AN93" s="292" t="s">
        <v>104</v>
      </c>
      <c r="AO93" s="292" t="s">
        <v>105</v>
      </c>
      <c r="AP93" s="292" t="s">
        <v>106</v>
      </c>
      <c r="AQ93" s="292" t="s">
        <v>107</v>
      </c>
      <c r="AR93" s="292" t="s">
        <v>108</v>
      </c>
      <c r="AS93" s="293" t="s">
        <v>109</v>
      </c>
      <c r="AT93" s="294"/>
      <c r="AU93" s="285"/>
    </row>
    <row r="94">
      <c r="A94" s="295">
        <v>1.0</v>
      </c>
      <c r="B94" s="296" t="str">
        <f>Input!$B$95</f>
        <v>deadlift</v>
      </c>
      <c r="C94" s="297">
        <f>Input!C106</f>
        <v>0.6666666667</v>
      </c>
      <c r="D94" s="298">
        <f>Input!B106</f>
        <v>110</v>
      </c>
      <c r="E94" s="266">
        <f>Input!B120</f>
        <v>13</v>
      </c>
      <c r="F94" s="265">
        <v>45477.0</v>
      </c>
      <c r="G94" s="299">
        <v>0.95</v>
      </c>
      <c r="H94" s="300">
        <f>MROUND($D94*G94,Input!$B$6)</f>
        <v>105</v>
      </c>
      <c r="I94" s="299">
        <v>1.05</v>
      </c>
      <c r="J94" s="301">
        <f>MROUND($D94*I94,Input!$B$6)</f>
        <v>115</v>
      </c>
      <c r="K94" s="282"/>
      <c r="L94" s="286"/>
      <c r="M94" s="302" t="str">
        <f>Input!I105</f>
        <v>± 2,5kg</v>
      </c>
      <c r="N94" s="205"/>
      <c r="O94" s="204"/>
      <c r="P94" s="205"/>
      <c r="Q94" s="204"/>
      <c r="R94" s="204"/>
      <c r="S94" s="204"/>
      <c r="T94" s="204"/>
      <c r="U94" s="204"/>
      <c r="V94" s="204"/>
      <c r="W94" s="204"/>
      <c r="X94" s="303">
        <f>SUM(N94:W98)</f>
        <v>10</v>
      </c>
      <c r="Y94" s="203">
        <v>5.0</v>
      </c>
      <c r="Z94" s="204"/>
      <c r="AA94" s="204"/>
      <c r="AB94" s="204"/>
      <c r="AC94" s="204"/>
      <c r="AD94" s="204"/>
      <c r="AE94" s="204"/>
      <c r="AF94" s="204"/>
      <c r="AG94" s="204"/>
      <c r="AH94" s="204"/>
      <c r="AI94" s="303">
        <f>SUM(Y94:AH98)</f>
        <v>18</v>
      </c>
      <c r="AJ94" s="304">
        <v>8.0</v>
      </c>
      <c r="AK94" s="204"/>
      <c r="AL94" s="203"/>
      <c r="AM94" s="204"/>
      <c r="AN94" s="204"/>
      <c r="AO94" s="204"/>
      <c r="AP94" s="204"/>
      <c r="AQ94" s="204"/>
      <c r="AR94" s="204"/>
      <c r="AS94" s="204"/>
      <c r="AT94" s="303">
        <f>SUM(AJ94:AS98)</f>
        <v>12</v>
      </c>
      <c r="AU94" s="305">
        <f t="shared" ref="AU94:AU98" si="15">E94-SUM(N94:W94)-SUM(Y94:AH94)-SUM(AJ94:AS94)</f>
        <v>0</v>
      </c>
    </row>
    <row r="95">
      <c r="A95" s="181"/>
      <c r="B95" s="166"/>
      <c r="C95" s="297">
        <f>Input!C107</f>
        <v>0.7575757576</v>
      </c>
      <c r="D95" s="298">
        <f>Input!B107</f>
        <v>125</v>
      </c>
      <c r="E95" s="266">
        <f>Input!B121</f>
        <v>18</v>
      </c>
      <c r="F95" s="265">
        <v>45446.0</v>
      </c>
      <c r="G95" s="299">
        <v>0.95</v>
      </c>
      <c r="H95" s="300">
        <f>MROUND($D95*G95,Input!$B$6)</f>
        <v>120</v>
      </c>
      <c r="I95" s="299">
        <v>1.05</v>
      </c>
      <c r="J95" s="301">
        <f>MROUND($D95*I95,Input!$B$6)</f>
        <v>132.5</v>
      </c>
      <c r="K95" s="285"/>
      <c r="L95" s="286"/>
      <c r="M95" s="306" t="str">
        <f>Input!I106</f>
        <v>± 2,5kg</v>
      </c>
      <c r="N95" s="239">
        <v>2.0</v>
      </c>
      <c r="O95" s="239">
        <v>2.0</v>
      </c>
      <c r="P95" s="239">
        <v>2.0</v>
      </c>
      <c r="Q95" s="239">
        <v>2.0</v>
      </c>
      <c r="R95" s="239">
        <v>2.0</v>
      </c>
      <c r="S95" s="204"/>
      <c r="T95" s="204"/>
      <c r="U95" s="204"/>
      <c r="V95" s="204"/>
      <c r="W95" s="204"/>
      <c r="X95" s="181"/>
      <c r="Y95" s="204"/>
      <c r="Z95" s="203">
        <v>4.0</v>
      </c>
      <c r="AA95" s="204"/>
      <c r="AB95" s="204"/>
      <c r="AC95" s="204"/>
      <c r="AD95" s="204"/>
      <c r="AE95" s="204"/>
      <c r="AF95" s="204"/>
      <c r="AG95" s="204"/>
      <c r="AH95" s="204"/>
      <c r="AI95" s="181"/>
      <c r="AJ95" s="204"/>
      <c r="AK95" s="304">
        <v>4.0</v>
      </c>
      <c r="AL95" s="204"/>
      <c r="AM95" s="204"/>
      <c r="AN95" s="204"/>
      <c r="AO95" s="204"/>
      <c r="AP95" s="204"/>
      <c r="AQ95" s="204"/>
      <c r="AR95" s="204"/>
      <c r="AS95" s="204"/>
      <c r="AT95" s="181"/>
      <c r="AU95" s="305">
        <f t="shared" si="15"/>
        <v>0</v>
      </c>
    </row>
    <row r="96">
      <c r="A96" s="181"/>
      <c r="B96" s="166"/>
      <c r="C96" s="297">
        <f>Input!C108</f>
        <v>0.8484848485</v>
      </c>
      <c r="D96" s="298">
        <f>Input!B108</f>
        <v>140</v>
      </c>
      <c r="E96" s="266">
        <f>Input!B122</f>
        <v>9</v>
      </c>
      <c r="F96" s="265">
        <v>45384.0</v>
      </c>
      <c r="G96" s="299">
        <v>0.95</v>
      </c>
      <c r="H96" s="300">
        <f>MROUND($D96*G96,Input!$B$6)</f>
        <v>132.5</v>
      </c>
      <c r="I96" s="299">
        <v>1.05</v>
      </c>
      <c r="J96" s="301">
        <f>MROUND($D96*I96,Input!$B$6)</f>
        <v>147.5</v>
      </c>
      <c r="K96" s="285"/>
      <c r="L96" s="286"/>
      <c r="M96" s="306" t="str">
        <f>Input!I107</f>
        <v>± 2,5kg</v>
      </c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181"/>
      <c r="Y96" s="204"/>
      <c r="Z96" s="204"/>
      <c r="AA96" s="203">
        <v>3.0</v>
      </c>
      <c r="AB96" s="203">
        <v>3.0</v>
      </c>
      <c r="AC96" s="203">
        <v>3.0</v>
      </c>
      <c r="AD96" s="204"/>
      <c r="AE96" s="204"/>
      <c r="AF96" s="204"/>
      <c r="AG96" s="204"/>
      <c r="AH96" s="204"/>
      <c r="AI96" s="181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181"/>
      <c r="AU96" s="305">
        <f t="shared" si="15"/>
        <v>0</v>
      </c>
    </row>
    <row r="97">
      <c r="A97" s="181"/>
      <c r="B97" s="166"/>
      <c r="C97" s="297">
        <f>Input!C109</f>
        <v>0.9242424242</v>
      </c>
      <c r="D97" s="298">
        <f>Input!B109</f>
        <v>152.5</v>
      </c>
      <c r="E97" s="266">
        <f>Input!B123</f>
        <v>0</v>
      </c>
      <c r="F97" s="266">
        <v>1.0</v>
      </c>
      <c r="G97" s="299">
        <v>0.95</v>
      </c>
      <c r="H97" s="300">
        <f>MROUND($D97*G97,Input!$B$6)</f>
        <v>145</v>
      </c>
      <c r="I97" s="299">
        <v>1.05</v>
      </c>
      <c r="J97" s="301">
        <f>MROUND($D97*I97,Input!$B$6)</f>
        <v>160</v>
      </c>
      <c r="K97" s="285"/>
      <c r="L97" s="286"/>
      <c r="M97" s="306" t="str">
        <f>Input!I108</f>
        <v>± 2,5kg</v>
      </c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181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181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181"/>
      <c r="AU97" s="305">
        <f t="shared" si="15"/>
        <v>0</v>
      </c>
    </row>
    <row r="98">
      <c r="A98" s="181"/>
      <c r="B98" s="166"/>
      <c r="C98" s="297">
        <f>Input!C110</f>
        <v>0.9545454545</v>
      </c>
      <c r="D98" s="298">
        <f>Input!B110</f>
        <v>157.5</v>
      </c>
      <c r="E98" s="266">
        <f>Input!B124</f>
        <v>0</v>
      </c>
      <c r="F98" s="268">
        <v>1.0</v>
      </c>
      <c r="G98" s="307"/>
      <c r="H98" s="294"/>
      <c r="I98" s="307"/>
      <c r="J98" s="294"/>
      <c r="K98" s="307"/>
      <c r="L98" s="291"/>
      <c r="M98" s="308" t="str">
        <f>Input!I109</f>
        <v>± 2,5kg</v>
      </c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185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185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185"/>
      <c r="AU98" s="305">
        <f t="shared" si="15"/>
        <v>0</v>
      </c>
    </row>
    <row r="99">
      <c r="A99" s="181"/>
      <c r="B99" s="166"/>
      <c r="C99" s="309" t="s">
        <v>110</v>
      </c>
      <c r="L99" s="166"/>
      <c r="M99" s="283"/>
      <c r="N99" s="224"/>
      <c r="O99" s="225"/>
      <c r="P99" s="225"/>
      <c r="Q99" s="225"/>
      <c r="R99" s="225"/>
      <c r="S99" s="225"/>
      <c r="T99" s="225"/>
      <c r="U99" s="225"/>
      <c r="V99" s="225"/>
      <c r="W99" s="226"/>
      <c r="X99" s="310">
        <f>Input!B130</f>
        <v>10</v>
      </c>
      <c r="Y99" s="224"/>
      <c r="Z99" s="225"/>
      <c r="AA99" s="225"/>
      <c r="AB99" s="225"/>
      <c r="AC99" s="225"/>
      <c r="AD99" s="225"/>
      <c r="AE99" s="225"/>
      <c r="AF99" s="225"/>
      <c r="AG99" s="225"/>
      <c r="AH99" s="226"/>
      <c r="AI99" s="310">
        <f>Input!B131</f>
        <v>17</v>
      </c>
      <c r="AJ99" s="224"/>
      <c r="AK99" s="225"/>
      <c r="AL99" s="225"/>
      <c r="AM99" s="225"/>
      <c r="AN99" s="225"/>
      <c r="AO99" s="225"/>
      <c r="AP99" s="225"/>
      <c r="AQ99" s="225"/>
      <c r="AR99" s="225"/>
      <c r="AS99" s="226"/>
      <c r="AT99" s="310">
        <f>Input!B132</f>
        <v>13</v>
      </c>
      <c r="AU99" s="285"/>
    </row>
    <row r="100">
      <c r="A100" s="185"/>
      <c r="B100" s="138"/>
      <c r="C100" s="137"/>
      <c r="D100" s="137"/>
      <c r="E100" s="137"/>
      <c r="F100" s="137"/>
      <c r="G100" s="137"/>
      <c r="H100" s="137"/>
      <c r="I100" s="137"/>
      <c r="J100" s="137"/>
      <c r="K100" s="137"/>
      <c r="L100" s="138"/>
      <c r="M100" s="294"/>
      <c r="N100" s="230"/>
      <c r="O100" s="231"/>
      <c r="P100" s="231"/>
      <c r="Q100" s="231"/>
      <c r="R100" s="231"/>
      <c r="S100" s="231"/>
      <c r="T100" s="231"/>
      <c r="U100" s="231"/>
      <c r="V100" s="231"/>
      <c r="W100" s="232"/>
      <c r="X100" s="268">
        <f>Input!B137</f>
        <v>16</v>
      </c>
      <c r="Y100" s="230"/>
      <c r="Z100" s="231"/>
      <c r="AA100" s="231"/>
      <c r="AB100" s="231"/>
      <c r="AC100" s="231"/>
      <c r="AD100" s="231"/>
      <c r="AE100" s="231"/>
      <c r="AF100" s="231"/>
      <c r="AG100" s="231"/>
      <c r="AH100" s="232"/>
      <c r="AI100" s="268">
        <f>Input!B138</f>
        <v>24</v>
      </c>
      <c r="AJ100" s="230"/>
      <c r="AK100" s="231"/>
      <c r="AL100" s="231"/>
      <c r="AM100" s="231"/>
      <c r="AN100" s="231"/>
      <c r="AO100" s="231"/>
      <c r="AP100" s="231"/>
      <c r="AQ100" s="231"/>
      <c r="AR100" s="231"/>
      <c r="AS100" s="232"/>
      <c r="AT100" s="268">
        <f>Input!B139</f>
        <v>0</v>
      </c>
      <c r="AU100" s="285"/>
    </row>
    <row r="101">
      <c r="A101" s="295">
        <v>2.0</v>
      </c>
      <c r="B101" s="296" t="str">
        <f>Input!$B$95</f>
        <v>deadlift</v>
      </c>
      <c r="C101" s="297">
        <f>Input!C106</f>
        <v>0.6666666667</v>
      </c>
      <c r="D101" s="298">
        <f>Input!B106</f>
        <v>110</v>
      </c>
      <c r="E101" s="266">
        <f>Input!C120</f>
        <v>16</v>
      </c>
      <c r="F101" s="265">
        <v>45477.0</v>
      </c>
      <c r="G101" s="311">
        <v>0.9</v>
      </c>
      <c r="H101" s="300">
        <f>MROUND(D101*G101,Input!$B$6)</f>
        <v>100</v>
      </c>
      <c r="I101" s="285"/>
      <c r="J101" s="283"/>
      <c r="K101" s="285"/>
      <c r="L101" s="283"/>
      <c r="M101" s="266" t="str">
        <f t="shared" ref="M101:M105" si="16">M94</f>
        <v>± 2,5kg</v>
      </c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303">
        <f>SUM(N101:W105)</f>
        <v>12</v>
      </c>
      <c r="Y101" s="304">
        <v>6.0</v>
      </c>
      <c r="Z101" s="204"/>
      <c r="AA101" s="204"/>
      <c r="AB101" s="204"/>
      <c r="AC101" s="304">
        <v>6.0</v>
      </c>
      <c r="AD101" s="204"/>
      <c r="AE101" s="204"/>
      <c r="AF101" s="204"/>
      <c r="AG101" s="204"/>
      <c r="AH101" s="204"/>
      <c r="AI101" s="303">
        <f>SUM(Y101:AH105)</f>
        <v>22</v>
      </c>
      <c r="AJ101" s="203">
        <v>4.0</v>
      </c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303">
        <f>SUM(AJ101:AS105)</f>
        <v>17</v>
      </c>
      <c r="AU101" s="305">
        <f t="shared" ref="AU101:AU105" si="17">E101-SUM(N101:W101)-SUM(Y101:AH101)-SUM(AJ101:AS101)</f>
        <v>0</v>
      </c>
    </row>
    <row r="102">
      <c r="A102" s="181"/>
      <c r="B102" s="166"/>
      <c r="C102" s="297">
        <f>Input!C107</f>
        <v>0.7575757576</v>
      </c>
      <c r="D102" s="298">
        <f>Input!B107</f>
        <v>125</v>
      </c>
      <c r="E102" s="266">
        <f>Input!C121</f>
        <v>23</v>
      </c>
      <c r="F102" s="265">
        <v>45446.0</v>
      </c>
      <c r="G102" s="311">
        <v>0.9</v>
      </c>
      <c r="H102" s="300">
        <f>MROUND(D102*G102,Input!$B$6)</f>
        <v>112.5</v>
      </c>
      <c r="I102" s="311">
        <v>0.8</v>
      </c>
      <c r="J102" s="301">
        <f>MROUND($D102*I102,Input!$B$6)</f>
        <v>100</v>
      </c>
      <c r="K102" s="282"/>
      <c r="L102" s="286"/>
      <c r="M102" s="266" t="str">
        <f t="shared" si="16"/>
        <v>± 2,5kg</v>
      </c>
      <c r="N102" s="239">
        <v>2.0</v>
      </c>
      <c r="O102" s="239">
        <v>2.0</v>
      </c>
      <c r="P102" s="239">
        <v>2.0</v>
      </c>
      <c r="Q102" s="239">
        <v>2.0</v>
      </c>
      <c r="R102" s="239">
        <v>2.0</v>
      </c>
      <c r="S102" s="239">
        <v>2.0</v>
      </c>
      <c r="T102" s="204"/>
      <c r="U102" s="204"/>
      <c r="V102" s="204"/>
      <c r="W102" s="204"/>
      <c r="X102" s="181"/>
      <c r="Y102" s="204"/>
      <c r="Z102" s="304">
        <v>4.0</v>
      </c>
      <c r="AA102" s="204"/>
      <c r="AB102" s="204"/>
      <c r="AC102" s="204"/>
      <c r="AD102" s="204"/>
      <c r="AE102" s="204"/>
      <c r="AF102" s="204"/>
      <c r="AG102" s="204"/>
      <c r="AH102" s="204"/>
      <c r="AI102" s="181"/>
      <c r="AJ102" s="204"/>
      <c r="AK102" s="203">
        <v>3.0</v>
      </c>
      <c r="AL102" s="204"/>
      <c r="AM102" s="204"/>
      <c r="AN102" s="203">
        <v>4.0</v>
      </c>
      <c r="AO102" s="204"/>
      <c r="AP102" s="204"/>
      <c r="AQ102" s="204"/>
      <c r="AR102" s="204"/>
      <c r="AS102" s="204"/>
      <c r="AT102" s="181"/>
      <c r="AU102" s="305">
        <f t="shared" si="17"/>
        <v>0</v>
      </c>
    </row>
    <row r="103">
      <c r="A103" s="181"/>
      <c r="B103" s="166"/>
      <c r="C103" s="297">
        <f>Input!C108</f>
        <v>0.8484848485</v>
      </c>
      <c r="D103" s="298">
        <f>Input!B108</f>
        <v>140</v>
      </c>
      <c r="E103" s="266">
        <f>Input!C122</f>
        <v>11</v>
      </c>
      <c r="F103" s="265">
        <v>45384.0</v>
      </c>
      <c r="G103" s="285"/>
      <c r="H103" s="283"/>
      <c r="I103" s="285"/>
      <c r="J103" s="283"/>
      <c r="K103" s="285"/>
      <c r="L103" s="283"/>
      <c r="M103" s="266" t="str">
        <f t="shared" si="16"/>
        <v>± 2,5kg</v>
      </c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181"/>
      <c r="Y103" s="204"/>
      <c r="Z103" s="204"/>
      <c r="AA103" s="304">
        <v>3.0</v>
      </c>
      <c r="AB103" s="304">
        <v>3.0</v>
      </c>
      <c r="AC103" s="205"/>
      <c r="AD103" s="204"/>
      <c r="AE103" s="204"/>
      <c r="AF103" s="204"/>
      <c r="AG103" s="204"/>
      <c r="AH103" s="204"/>
      <c r="AI103" s="181"/>
      <c r="AJ103" s="204"/>
      <c r="AK103" s="204"/>
      <c r="AL103" s="203">
        <v>2.0</v>
      </c>
      <c r="AM103" s="205"/>
      <c r="AN103" s="204"/>
      <c r="AO103" s="203">
        <v>3.0</v>
      </c>
      <c r="AP103" s="204"/>
      <c r="AQ103" s="204"/>
      <c r="AR103" s="204"/>
      <c r="AS103" s="204"/>
      <c r="AT103" s="181"/>
      <c r="AU103" s="305">
        <f t="shared" si="17"/>
        <v>0</v>
      </c>
    </row>
    <row r="104">
      <c r="A104" s="181"/>
      <c r="B104" s="166"/>
      <c r="C104" s="297">
        <f>Input!C109</f>
        <v>0.9242424242</v>
      </c>
      <c r="D104" s="298">
        <f>Input!B109</f>
        <v>152.5</v>
      </c>
      <c r="E104" s="266">
        <f>Input!C123</f>
        <v>1</v>
      </c>
      <c r="F104" s="266">
        <v>1.0</v>
      </c>
      <c r="G104" s="285"/>
      <c r="H104" s="283"/>
      <c r="I104" s="285"/>
      <c r="J104" s="283"/>
      <c r="K104" s="285"/>
      <c r="L104" s="283"/>
      <c r="M104" s="266" t="str">
        <f t="shared" si="16"/>
        <v>± 2,5kg</v>
      </c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181"/>
      <c r="Y104" s="204"/>
      <c r="Z104" s="204"/>
      <c r="AA104" s="204"/>
      <c r="AB104" s="203"/>
      <c r="AC104" s="204"/>
      <c r="AD104" s="204"/>
      <c r="AE104" s="204"/>
      <c r="AF104" s="204"/>
      <c r="AG104" s="204"/>
      <c r="AH104" s="204"/>
      <c r="AI104" s="181"/>
      <c r="AJ104" s="204"/>
      <c r="AK104" s="204"/>
      <c r="AL104" s="204"/>
      <c r="AM104" s="203">
        <v>1.0</v>
      </c>
      <c r="AN104" s="204"/>
      <c r="AO104" s="204"/>
      <c r="AP104" s="204"/>
      <c r="AQ104" s="204"/>
      <c r="AR104" s="204"/>
      <c r="AS104" s="204"/>
      <c r="AT104" s="181"/>
      <c r="AU104" s="305">
        <f t="shared" si="17"/>
        <v>0</v>
      </c>
    </row>
    <row r="105">
      <c r="A105" s="181"/>
      <c r="B105" s="166"/>
      <c r="C105" s="297">
        <f>Input!C110</f>
        <v>0.9545454545</v>
      </c>
      <c r="D105" s="298">
        <f>Input!B110</f>
        <v>157.5</v>
      </c>
      <c r="E105" s="266">
        <f>Input!C124</f>
        <v>0</v>
      </c>
      <c r="F105" s="268">
        <v>1.0</v>
      </c>
      <c r="G105" s="307"/>
      <c r="H105" s="294"/>
      <c r="I105" s="307"/>
      <c r="J105" s="294"/>
      <c r="K105" s="307"/>
      <c r="L105" s="294"/>
      <c r="M105" s="268" t="str">
        <f t="shared" si="16"/>
        <v>± 2,5kg</v>
      </c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185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185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185"/>
      <c r="AU105" s="305">
        <f t="shared" si="17"/>
        <v>0</v>
      </c>
    </row>
    <row r="106">
      <c r="A106" s="181"/>
      <c r="B106" s="166"/>
      <c r="C106" s="309" t="s">
        <v>110</v>
      </c>
      <c r="L106" s="166"/>
      <c r="M106" s="283"/>
      <c r="N106" s="224"/>
      <c r="O106" s="225"/>
      <c r="P106" s="225"/>
      <c r="Q106" s="225"/>
      <c r="R106" s="225"/>
      <c r="S106" s="225"/>
      <c r="T106" s="225"/>
      <c r="U106" s="225"/>
      <c r="V106" s="225"/>
      <c r="W106" s="226"/>
      <c r="X106" s="310">
        <f>Input!C130</f>
        <v>13</v>
      </c>
      <c r="Y106" s="224"/>
      <c r="Z106" s="225"/>
      <c r="AA106" s="225"/>
      <c r="AB106" s="225"/>
      <c r="AC106" s="225"/>
      <c r="AD106" s="225"/>
      <c r="AE106" s="225"/>
      <c r="AF106" s="225"/>
      <c r="AG106" s="225"/>
      <c r="AH106" s="226"/>
      <c r="AI106" s="310">
        <f>Input!C131</f>
        <v>21</v>
      </c>
      <c r="AJ106" s="224"/>
      <c r="AK106" s="225"/>
      <c r="AL106" s="225"/>
      <c r="AM106" s="225"/>
      <c r="AN106" s="225"/>
      <c r="AO106" s="225"/>
      <c r="AP106" s="225"/>
      <c r="AQ106" s="225"/>
      <c r="AR106" s="225"/>
      <c r="AS106" s="226"/>
      <c r="AT106" s="310">
        <f>Input!C132</f>
        <v>17</v>
      </c>
      <c r="AU106" s="285"/>
    </row>
    <row r="107">
      <c r="A107" s="185"/>
      <c r="B107" s="138"/>
      <c r="C107" s="137"/>
      <c r="D107" s="137"/>
      <c r="E107" s="137"/>
      <c r="F107" s="137"/>
      <c r="G107" s="137"/>
      <c r="H107" s="137"/>
      <c r="I107" s="137"/>
      <c r="J107" s="137"/>
      <c r="K107" s="137"/>
      <c r="L107" s="138"/>
      <c r="M107" s="294"/>
      <c r="N107" s="230"/>
      <c r="O107" s="231"/>
      <c r="P107" s="231"/>
      <c r="Q107" s="231"/>
      <c r="R107" s="231"/>
      <c r="S107" s="231"/>
      <c r="T107" s="231"/>
      <c r="U107" s="231"/>
      <c r="V107" s="231"/>
      <c r="W107" s="232"/>
      <c r="X107" s="268">
        <f>Input!C137</f>
        <v>20</v>
      </c>
      <c r="Y107" s="230"/>
      <c r="Z107" s="231"/>
      <c r="AA107" s="231"/>
      <c r="AB107" s="231"/>
      <c r="AC107" s="231"/>
      <c r="AD107" s="231"/>
      <c r="AE107" s="231"/>
      <c r="AF107" s="231"/>
      <c r="AG107" s="231"/>
      <c r="AH107" s="232"/>
      <c r="AI107" s="268">
        <f>Input!C138</f>
        <v>30</v>
      </c>
      <c r="AJ107" s="230"/>
      <c r="AK107" s="231"/>
      <c r="AL107" s="231"/>
      <c r="AM107" s="231"/>
      <c r="AN107" s="231"/>
      <c r="AO107" s="231"/>
      <c r="AP107" s="231"/>
      <c r="AQ107" s="231"/>
      <c r="AR107" s="231"/>
      <c r="AS107" s="232"/>
      <c r="AT107" s="268">
        <f>Input!C139</f>
        <v>0</v>
      </c>
      <c r="AU107" s="285"/>
    </row>
    <row r="108">
      <c r="A108" s="295">
        <v>3.0</v>
      </c>
      <c r="B108" s="296" t="str">
        <f>Input!$B$95</f>
        <v>deadlift</v>
      </c>
      <c r="C108" s="297">
        <f>Input!C106</f>
        <v>0.6666666667</v>
      </c>
      <c r="D108" s="298">
        <f>Input!B106</f>
        <v>110</v>
      </c>
      <c r="E108" s="266">
        <f>Input!D120</f>
        <v>10</v>
      </c>
      <c r="F108" s="265">
        <v>45477.0</v>
      </c>
      <c r="G108" s="311">
        <v>0.9</v>
      </c>
      <c r="H108" s="300">
        <f>MROUND(D108*G108,Input!$B$6)</f>
        <v>100</v>
      </c>
      <c r="I108" s="285"/>
      <c r="J108" s="283"/>
      <c r="K108" s="312">
        <v>0.8</v>
      </c>
      <c r="L108" s="313">
        <f>MROUND($D108*K108,Input!$B$6)</f>
        <v>87.5</v>
      </c>
      <c r="M108" s="266" t="str">
        <f t="shared" ref="M108:M112" si="18">M94</f>
        <v>± 2,5kg</v>
      </c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303">
        <f>SUM(N108:W112)</f>
        <v>8</v>
      </c>
      <c r="Y108" s="314">
        <v>5.0</v>
      </c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303">
        <f>SUM(Y108:AH112)</f>
        <v>13</v>
      </c>
      <c r="AJ108" s="203">
        <v>5.0</v>
      </c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303">
        <f>SUM(AJ108:AS112)</f>
        <v>11</v>
      </c>
      <c r="AU108" s="305">
        <f t="shared" ref="AU108:AU112" si="19">E108-SUM(N108:W108)-SUM(Y108:AH108)-SUM(AJ108:AS108)</f>
        <v>0</v>
      </c>
    </row>
    <row r="109">
      <c r="A109" s="181"/>
      <c r="B109" s="166"/>
      <c r="C109" s="297">
        <f>Input!C107</f>
        <v>0.7575757576</v>
      </c>
      <c r="D109" s="298">
        <f>Input!B107</f>
        <v>125</v>
      </c>
      <c r="E109" s="266">
        <f>Input!D121</f>
        <v>14</v>
      </c>
      <c r="F109" s="265">
        <v>45446.0</v>
      </c>
      <c r="G109" s="311">
        <v>0.9</v>
      </c>
      <c r="H109" s="300">
        <f>MROUND(D109*G109,Input!$B$6)</f>
        <v>112.5</v>
      </c>
      <c r="I109" s="285"/>
      <c r="J109" s="283"/>
      <c r="K109" s="312">
        <v>0.8</v>
      </c>
      <c r="L109" s="313">
        <f>MROUND($D109*K109,Input!$B$6)</f>
        <v>100</v>
      </c>
      <c r="M109" s="266" t="str">
        <f t="shared" si="18"/>
        <v>± 2,5kg</v>
      </c>
      <c r="N109" s="239">
        <v>2.0</v>
      </c>
      <c r="O109" s="239">
        <v>2.0</v>
      </c>
      <c r="P109" s="239">
        <v>2.0</v>
      </c>
      <c r="Q109" s="239">
        <v>2.0</v>
      </c>
      <c r="R109" s="204"/>
      <c r="S109" s="204"/>
      <c r="T109" s="204"/>
      <c r="U109" s="204"/>
      <c r="V109" s="204"/>
      <c r="W109" s="204"/>
      <c r="X109" s="181"/>
      <c r="Y109" s="204"/>
      <c r="Z109" s="314">
        <v>4.0</v>
      </c>
      <c r="AA109" s="204"/>
      <c r="AB109" s="204"/>
      <c r="AC109" s="204"/>
      <c r="AD109" s="204"/>
      <c r="AE109" s="204"/>
      <c r="AF109" s="204"/>
      <c r="AG109" s="204"/>
      <c r="AH109" s="204"/>
      <c r="AI109" s="181"/>
      <c r="AJ109" s="204"/>
      <c r="AK109" s="203">
        <v>3.0</v>
      </c>
      <c r="AL109" s="204"/>
      <c r="AM109" s="204"/>
      <c r="AN109" s="204"/>
      <c r="AO109" s="204"/>
      <c r="AP109" s="204"/>
      <c r="AQ109" s="204"/>
      <c r="AR109" s="204"/>
      <c r="AS109" s="204"/>
      <c r="AT109" s="181"/>
      <c r="AU109" s="305">
        <f t="shared" si="19"/>
        <v>-1</v>
      </c>
    </row>
    <row r="110">
      <c r="A110" s="181"/>
      <c r="B110" s="166"/>
      <c r="C110" s="297">
        <f>Input!C108</f>
        <v>0.8484848485</v>
      </c>
      <c r="D110" s="298">
        <f>Input!B108</f>
        <v>140</v>
      </c>
      <c r="E110" s="266">
        <f>Input!D122</f>
        <v>7</v>
      </c>
      <c r="F110" s="265">
        <v>45384.0</v>
      </c>
      <c r="G110" s="285"/>
      <c r="H110" s="283"/>
      <c r="I110" s="285"/>
      <c r="J110" s="283"/>
      <c r="K110" s="312">
        <v>0.8</v>
      </c>
      <c r="L110" s="313">
        <f>MROUND($D110*K110,Input!$B$6)</f>
        <v>112.5</v>
      </c>
      <c r="M110" s="266" t="str">
        <f t="shared" si="18"/>
        <v>± 2,5kg</v>
      </c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181"/>
      <c r="Y110" s="204"/>
      <c r="Z110" s="204"/>
      <c r="AA110" s="314">
        <v>4.0</v>
      </c>
      <c r="AB110" s="204"/>
      <c r="AC110" s="204"/>
      <c r="AD110" s="204"/>
      <c r="AE110" s="204"/>
      <c r="AF110" s="204"/>
      <c r="AG110" s="204"/>
      <c r="AH110" s="204"/>
      <c r="AI110" s="181"/>
      <c r="AJ110" s="204"/>
      <c r="AK110" s="204"/>
      <c r="AL110" s="203">
        <v>3.0</v>
      </c>
      <c r="AM110" s="204"/>
      <c r="AN110" s="204"/>
      <c r="AO110" s="204"/>
      <c r="AP110" s="204"/>
      <c r="AQ110" s="204"/>
      <c r="AR110" s="204"/>
      <c r="AS110" s="204"/>
      <c r="AT110" s="181"/>
      <c r="AU110" s="305">
        <f t="shared" si="19"/>
        <v>0</v>
      </c>
    </row>
    <row r="111">
      <c r="A111" s="181"/>
      <c r="B111" s="166"/>
      <c r="C111" s="297">
        <f>Input!C109</f>
        <v>0.9242424242</v>
      </c>
      <c r="D111" s="298">
        <f>Input!B109</f>
        <v>152.5</v>
      </c>
      <c r="E111" s="266">
        <f>Input!D123</f>
        <v>0</v>
      </c>
      <c r="F111" s="266">
        <v>1.0</v>
      </c>
      <c r="G111" s="285"/>
      <c r="H111" s="283"/>
      <c r="I111" s="285"/>
      <c r="J111" s="283"/>
      <c r="K111" s="312">
        <v>0.8</v>
      </c>
      <c r="L111" s="313">
        <f>MROUND($D111*K111,Input!$B$6)</f>
        <v>122.5</v>
      </c>
      <c r="M111" s="266" t="str">
        <f t="shared" si="18"/>
        <v>± 2,5kg</v>
      </c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181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181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181"/>
      <c r="AU111" s="305">
        <f t="shared" si="19"/>
        <v>0</v>
      </c>
    </row>
    <row r="112">
      <c r="A112" s="181"/>
      <c r="B112" s="166"/>
      <c r="C112" s="297">
        <f>Input!C110</f>
        <v>0.9545454545</v>
      </c>
      <c r="D112" s="298">
        <f>Input!B110</f>
        <v>157.5</v>
      </c>
      <c r="E112" s="266">
        <f>Input!D124</f>
        <v>0</v>
      </c>
      <c r="F112" s="268">
        <v>1.0</v>
      </c>
      <c r="G112" s="315"/>
      <c r="H112" s="291"/>
      <c r="I112" s="290"/>
      <c r="J112" s="291"/>
      <c r="K112" s="312">
        <v>0.8</v>
      </c>
      <c r="L112" s="313">
        <f>MROUND($D112*K112,Input!$B$6)</f>
        <v>125</v>
      </c>
      <c r="M112" s="268" t="str">
        <f t="shared" si="18"/>
        <v>± 2,5kg</v>
      </c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185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185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185"/>
      <c r="AU112" s="305">
        <f t="shared" si="19"/>
        <v>0</v>
      </c>
    </row>
    <row r="113">
      <c r="A113" s="181"/>
      <c r="B113" s="166"/>
      <c r="C113" s="309" t="s">
        <v>110</v>
      </c>
      <c r="L113" s="166"/>
      <c r="M113" s="283"/>
      <c r="N113" s="224"/>
      <c r="O113" s="225"/>
      <c r="P113" s="225"/>
      <c r="Q113" s="225"/>
      <c r="R113" s="225"/>
      <c r="S113" s="225"/>
      <c r="T113" s="225"/>
      <c r="U113" s="225"/>
      <c r="V113" s="225"/>
      <c r="W113" s="226"/>
      <c r="X113" s="310">
        <f>Input!D130</f>
        <v>8</v>
      </c>
      <c r="Y113" s="224"/>
      <c r="Z113" s="225"/>
      <c r="AA113" s="225"/>
      <c r="AB113" s="225"/>
      <c r="AC113" s="225"/>
      <c r="AD113" s="225"/>
      <c r="AE113" s="225"/>
      <c r="AF113" s="225"/>
      <c r="AG113" s="225"/>
      <c r="AH113" s="226"/>
      <c r="AI113" s="310">
        <f>Input!D131</f>
        <v>13</v>
      </c>
      <c r="AJ113" s="224"/>
      <c r="AK113" s="225"/>
      <c r="AL113" s="225"/>
      <c r="AM113" s="225"/>
      <c r="AN113" s="225"/>
      <c r="AO113" s="225"/>
      <c r="AP113" s="225"/>
      <c r="AQ113" s="225"/>
      <c r="AR113" s="225"/>
      <c r="AS113" s="226"/>
      <c r="AT113" s="310">
        <f>Input!D132</f>
        <v>10</v>
      </c>
      <c r="AU113" s="285"/>
    </row>
    <row r="114">
      <c r="A114" s="185"/>
      <c r="B114" s="138"/>
      <c r="C114" s="137"/>
      <c r="D114" s="137"/>
      <c r="E114" s="137"/>
      <c r="F114" s="137"/>
      <c r="G114" s="137"/>
      <c r="H114" s="137"/>
      <c r="I114" s="137"/>
      <c r="J114" s="137"/>
      <c r="K114" s="137"/>
      <c r="L114" s="138"/>
      <c r="M114" s="294"/>
      <c r="N114" s="230"/>
      <c r="O114" s="231"/>
      <c r="P114" s="231"/>
      <c r="Q114" s="231"/>
      <c r="R114" s="231"/>
      <c r="S114" s="231"/>
      <c r="T114" s="231"/>
      <c r="U114" s="231"/>
      <c r="V114" s="231"/>
      <c r="W114" s="232"/>
      <c r="X114" s="268">
        <f>Input!D137</f>
        <v>12</v>
      </c>
      <c r="Y114" s="230"/>
      <c r="Z114" s="231"/>
      <c r="AA114" s="231"/>
      <c r="AB114" s="231"/>
      <c r="AC114" s="231"/>
      <c r="AD114" s="231"/>
      <c r="AE114" s="231"/>
      <c r="AF114" s="231"/>
      <c r="AG114" s="231"/>
      <c r="AH114" s="232"/>
      <c r="AI114" s="268">
        <f>Input!D138</f>
        <v>19</v>
      </c>
      <c r="AJ114" s="230"/>
      <c r="AK114" s="231"/>
      <c r="AL114" s="231"/>
      <c r="AM114" s="231"/>
      <c r="AN114" s="231"/>
      <c r="AO114" s="231"/>
      <c r="AP114" s="231"/>
      <c r="AQ114" s="231"/>
      <c r="AR114" s="231"/>
      <c r="AS114" s="232"/>
      <c r="AT114" s="268">
        <f>Input!D139</f>
        <v>0</v>
      </c>
      <c r="AU114" s="285"/>
    </row>
    <row r="115">
      <c r="A115" s="295">
        <v>4.0</v>
      </c>
      <c r="B115" s="296" t="str">
        <f>Input!$B$95</f>
        <v>deadlift</v>
      </c>
      <c r="C115" s="297">
        <f>Input!C106</f>
        <v>0.6666666667</v>
      </c>
      <c r="D115" s="298">
        <f>Input!B106</f>
        <v>110</v>
      </c>
      <c r="E115" s="266">
        <f>Input!E120</f>
        <v>19</v>
      </c>
      <c r="F115" s="265">
        <v>45477.0</v>
      </c>
      <c r="G115" s="311">
        <v>0.9</v>
      </c>
      <c r="H115" s="300">
        <f>MROUND(D115*G115,Input!$B$6)</f>
        <v>100</v>
      </c>
      <c r="I115" s="285"/>
      <c r="J115" s="283"/>
      <c r="K115" s="285"/>
      <c r="L115" s="283"/>
      <c r="M115" s="266" t="str">
        <f t="shared" ref="M115:M119" si="20">M94</f>
        <v>± 2,5kg</v>
      </c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303">
        <f>SUM(N115:W119)</f>
        <v>16</v>
      </c>
      <c r="Y115" s="316">
        <v>8.0</v>
      </c>
      <c r="Z115" s="204"/>
      <c r="AA115" s="204"/>
      <c r="AB115" s="204"/>
      <c r="AC115" s="316">
        <v>7.0</v>
      </c>
      <c r="AD115" s="204"/>
      <c r="AE115" s="204"/>
      <c r="AF115" s="204"/>
      <c r="AG115" s="204"/>
      <c r="AH115" s="204"/>
      <c r="AI115" s="303">
        <f>SUM(Y115:AH119)</f>
        <v>26</v>
      </c>
      <c r="AJ115" s="203">
        <v>4.0</v>
      </c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303">
        <f>SUM(AJ115:AS119)</f>
        <v>18</v>
      </c>
      <c r="AU115" s="305">
        <f t="shared" ref="AU115:AU119" si="21">E115-SUM(N115:W115)-SUM(Y115:AH115)-SUM(AJ115:AS115)</f>
        <v>0</v>
      </c>
    </row>
    <row r="116">
      <c r="A116" s="181"/>
      <c r="B116" s="166"/>
      <c r="C116" s="297">
        <f>Input!C107</f>
        <v>0.7575757576</v>
      </c>
      <c r="D116" s="298">
        <f>Input!B107</f>
        <v>125</v>
      </c>
      <c r="E116" s="266">
        <f>Input!E121</f>
        <v>27</v>
      </c>
      <c r="F116" s="265">
        <v>45446.0</v>
      </c>
      <c r="G116" s="311">
        <v>0.9</v>
      </c>
      <c r="H116" s="300">
        <f>MROUND(D116*G116,Input!$B$6)</f>
        <v>112.5</v>
      </c>
      <c r="I116" s="311">
        <v>0.8</v>
      </c>
      <c r="J116" s="301">
        <f>MROUND($D116*I116,Input!$B$6)</f>
        <v>100</v>
      </c>
      <c r="K116" s="285"/>
      <c r="L116" s="283"/>
      <c r="M116" s="266" t="str">
        <f t="shared" si="20"/>
        <v>± 2,5kg</v>
      </c>
      <c r="N116" s="239">
        <v>2.0</v>
      </c>
      <c r="O116" s="239">
        <v>2.0</v>
      </c>
      <c r="P116" s="239">
        <v>2.0</v>
      </c>
      <c r="Q116" s="239">
        <v>2.0</v>
      </c>
      <c r="R116" s="239">
        <v>2.0</v>
      </c>
      <c r="S116" s="239">
        <v>2.0</v>
      </c>
      <c r="T116" s="239">
        <v>2.0</v>
      </c>
      <c r="U116" s="239">
        <v>2.0</v>
      </c>
      <c r="V116" s="204"/>
      <c r="W116" s="204"/>
      <c r="X116" s="181"/>
      <c r="Y116" s="204"/>
      <c r="Z116" s="316">
        <v>5.0</v>
      </c>
      <c r="AA116" s="204"/>
      <c r="AB116" s="204"/>
      <c r="AC116" s="204"/>
      <c r="AD116" s="204"/>
      <c r="AE116" s="204"/>
      <c r="AF116" s="204"/>
      <c r="AG116" s="204"/>
      <c r="AH116" s="204"/>
      <c r="AI116" s="181"/>
      <c r="AJ116" s="204"/>
      <c r="AK116" s="203">
        <v>2.0</v>
      </c>
      <c r="AL116" s="204"/>
      <c r="AM116" s="204"/>
      <c r="AN116" s="204"/>
      <c r="AO116" s="204"/>
      <c r="AP116" s="203">
        <v>4.0</v>
      </c>
      <c r="AQ116" s="204"/>
      <c r="AR116" s="204"/>
      <c r="AS116" s="204"/>
      <c r="AT116" s="181"/>
      <c r="AU116" s="305">
        <f t="shared" si="21"/>
        <v>0</v>
      </c>
    </row>
    <row r="117">
      <c r="A117" s="181"/>
      <c r="B117" s="166"/>
      <c r="C117" s="297">
        <f>Input!C108</f>
        <v>0.8484848485</v>
      </c>
      <c r="D117" s="298">
        <f>Input!B108</f>
        <v>140</v>
      </c>
      <c r="E117" s="266">
        <f>Input!E122</f>
        <v>13</v>
      </c>
      <c r="F117" s="265">
        <v>45384.0</v>
      </c>
      <c r="G117" s="285"/>
      <c r="H117" s="283"/>
      <c r="I117" s="285"/>
      <c r="J117" s="283"/>
      <c r="K117" s="285"/>
      <c r="L117" s="283"/>
      <c r="M117" s="266" t="str">
        <f t="shared" si="20"/>
        <v>± 2,5kg</v>
      </c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181"/>
      <c r="Y117" s="204"/>
      <c r="Z117" s="204"/>
      <c r="AA117" s="316">
        <v>3.0</v>
      </c>
      <c r="AB117" s="316">
        <v>3.0</v>
      </c>
      <c r="AC117" s="204"/>
      <c r="AD117" s="204"/>
      <c r="AE117" s="204"/>
      <c r="AF117" s="204"/>
      <c r="AG117" s="204"/>
      <c r="AH117" s="204"/>
      <c r="AI117" s="181"/>
      <c r="AJ117" s="204"/>
      <c r="AK117" s="204"/>
      <c r="AL117" s="203">
        <v>1.0</v>
      </c>
      <c r="AM117" s="204"/>
      <c r="AN117" s="203">
        <v>3.0</v>
      </c>
      <c r="AO117" s="203">
        <v>3.0</v>
      </c>
      <c r="AP117" s="204"/>
      <c r="AQ117" s="204"/>
      <c r="AR117" s="204"/>
      <c r="AS117" s="204"/>
      <c r="AT117" s="181"/>
      <c r="AU117" s="305">
        <f t="shared" si="21"/>
        <v>0</v>
      </c>
    </row>
    <row r="118">
      <c r="A118" s="181"/>
      <c r="B118" s="166"/>
      <c r="C118" s="297">
        <f>Input!C109</f>
        <v>0.9242424242</v>
      </c>
      <c r="D118" s="298">
        <f>Input!B109</f>
        <v>152.5</v>
      </c>
      <c r="E118" s="266">
        <f>Input!E123</f>
        <v>1</v>
      </c>
      <c r="F118" s="266">
        <v>1.0</v>
      </c>
      <c r="G118" s="285"/>
      <c r="H118" s="283"/>
      <c r="I118" s="285"/>
      <c r="J118" s="283"/>
      <c r="K118" s="285"/>
      <c r="L118" s="283"/>
      <c r="M118" s="266" t="str">
        <f t="shared" si="20"/>
        <v>± 2,5kg</v>
      </c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181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181"/>
      <c r="AJ118" s="204"/>
      <c r="AK118" s="204"/>
      <c r="AL118" s="204"/>
      <c r="AM118" s="203">
        <v>1.0</v>
      </c>
      <c r="AN118" s="204"/>
      <c r="AO118" s="204"/>
      <c r="AP118" s="204"/>
      <c r="AQ118" s="204"/>
      <c r="AR118" s="204"/>
      <c r="AS118" s="204"/>
      <c r="AT118" s="181"/>
      <c r="AU118" s="305">
        <f t="shared" si="21"/>
        <v>0</v>
      </c>
    </row>
    <row r="119">
      <c r="A119" s="181"/>
      <c r="B119" s="166"/>
      <c r="C119" s="297">
        <f>Input!C110</f>
        <v>0.9545454545</v>
      </c>
      <c r="D119" s="298">
        <f>Input!B110</f>
        <v>157.5</v>
      </c>
      <c r="E119" s="266">
        <f>Input!E124</f>
        <v>0</v>
      </c>
      <c r="F119" s="268">
        <v>1.0</v>
      </c>
      <c r="G119" s="307"/>
      <c r="H119" s="294"/>
      <c r="I119" s="307"/>
      <c r="J119" s="294"/>
      <c r="K119" s="307"/>
      <c r="L119" s="294"/>
      <c r="M119" s="268" t="str">
        <f t="shared" si="20"/>
        <v>± 2,5kg</v>
      </c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185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185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185"/>
      <c r="AU119" s="305">
        <f t="shared" si="21"/>
        <v>0</v>
      </c>
    </row>
    <row r="120">
      <c r="A120" s="181"/>
      <c r="B120" s="166"/>
      <c r="C120" s="309" t="s">
        <v>110</v>
      </c>
      <c r="L120" s="166"/>
      <c r="M120" s="283"/>
      <c r="N120" s="285"/>
      <c r="O120" s="285"/>
      <c r="P120" s="285"/>
      <c r="Q120" s="285"/>
      <c r="R120" s="285"/>
      <c r="S120" s="285"/>
      <c r="T120" s="285"/>
      <c r="U120" s="285"/>
      <c r="V120" s="285"/>
      <c r="W120" s="283"/>
      <c r="X120" s="310">
        <f>Input!E130</f>
        <v>15</v>
      </c>
      <c r="Y120" s="285"/>
      <c r="Z120" s="285"/>
      <c r="AA120" s="285"/>
      <c r="AB120" s="285"/>
      <c r="AC120" s="285"/>
      <c r="AD120" s="285"/>
      <c r="AE120" s="285"/>
      <c r="AF120" s="285"/>
      <c r="AG120" s="285"/>
      <c r="AH120" s="283"/>
      <c r="AI120" s="310">
        <f>Input!E131</f>
        <v>25</v>
      </c>
      <c r="AJ120" s="285"/>
      <c r="AK120" s="285"/>
      <c r="AL120" s="285"/>
      <c r="AM120" s="285"/>
      <c r="AN120" s="285"/>
      <c r="AO120" s="285"/>
      <c r="AP120" s="285"/>
      <c r="AQ120" s="285"/>
      <c r="AR120" s="285"/>
      <c r="AS120" s="283"/>
      <c r="AT120" s="310">
        <f>Input!E132</f>
        <v>19</v>
      </c>
      <c r="AU120" s="285"/>
    </row>
    <row r="121">
      <c r="A121" s="185"/>
      <c r="B121" s="138"/>
      <c r="C121" s="137"/>
      <c r="D121" s="137"/>
      <c r="E121" s="137"/>
      <c r="F121" s="137"/>
      <c r="G121" s="137"/>
      <c r="H121" s="137"/>
      <c r="I121" s="137"/>
      <c r="J121" s="137"/>
      <c r="K121" s="137"/>
      <c r="L121" s="138"/>
      <c r="M121" s="294"/>
      <c r="N121" s="307"/>
      <c r="O121" s="307"/>
      <c r="P121" s="307"/>
      <c r="Q121" s="307"/>
      <c r="R121" s="307"/>
      <c r="S121" s="307"/>
      <c r="T121" s="307"/>
      <c r="U121" s="307"/>
      <c r="V121" s="307"/>
      <c r="W121" s="294"/>
      <c r="X121" s="268">
        <f>Input!E137</f>
        <v>24</v>
      </c>
      <c r="Y121" s="307"/>
      <c r="Z121" s="307"/>
      <c r="AA121" s="307"/>
      <c r="AB121" s="307"/>
      <c r="AC121" s="307"/>
      <c r="AD121" s="307"/>
      <c r="AE121" s="307"/>
      <c r="AF121" s="307"/>
      <c r="AG121" s="307"/>
      <c r="AH121" s="294"/>
      <c r="AI121" s="268">
        <f>Input!E138</f>
        <v>35</v>
      </c>
      <c r="AJ121" s="307"/>
      <c r="AK121" s="307"/>
      <c r="AL121" s="307"/>
      <c r="AM121" s="307"/>
      <c r="AN121" s="307"/>
      <c r="AO121" s="307"/>
      <c r="AP121" s="307"/>
      <c r="AQ121" s="307"/>
      <c r="AR121" s="307"/>
      <c r="AS121" s="294"/>
      <c r="AT121" s="268">
        <f>Input!E139</f>
        <v>0</v>
      </c>
      <c r="AU121" s="285"/>
    </row>
    <row r="122">
      <c r="A122" s="155"/>
      <c r="B122" s="155"/>
      <c r="C122" s="67"/>
      <c r="D122" s="67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</row>
    <row r="123">
      <c r="A123" s="155"/>
      <c r="B123" s="155"/>
      <c r="C123" s="67"/>
      <c r="D123" s="67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</row>
    <row r="124">
      <c r="A124" s="155"/>
      <c r="B124" s="155"/>
      <c r="C124" s="67"/>
      <c r="D124" s="67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</row>
    <row r="125">
      <c r="A125" s="155"/>
      <c r="B125" s="155"/>
      <c r="C125" s="67"/>
      <c r="D125" s="67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</row>
    <row r="126">
      <c r="A126" s="155"/>
      <c r="B126" s="155"/>
      <c r="C126" s="67"/>
      <c r="D126" s="67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</row>
    <row r="127">
      <c r="A127" s="155"/>
      <c r="B127" s="155"/>
      <c r="C127" s="67"/>
      <c r="D127" s="67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</row>
    <row r="128">
      <c r="A128" s="155"/>
      <c r="B128" s="155"/>
      <c r="C128" s="67"/>
      <c r="D128" s="67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</row>
    <row r="129">
      <c r="A129" s="155"/>
      <c r="B129" s="155"/>
      <c r="C129" s="67"/>
      <c r="D129" s="67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55"/>
      <c r="AT129" s="155"/>
      <c r="AU129" s="155"/>
    </row>
    <row r="130">
      <c r="A130" s="155"/>
      <c r="B130" s="155"/>
      <c r="C130" s="67"/>
      <c r="D130" s="67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55"/>
      <c r="AT130" s="155"/>
      <c r="AU130" s="155"/>
    </row>
    <row r="131">
      <c r="A131" s="155"/>
      <c r="B131" s="155"/>
      <c r="C131" s="67"/>
      <c r="D131" s="67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</row>
    <row r="132">
      <c r="A132" s="155"/>
      <c r="B132" s="155"/>
      <c r="C132" s="67"/>
      <c r="D132" s="67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55"/>
      <c r="AT132" s="155"/>
      <c r="AU132" s="155"/>
    </row>
    <row r="133">
      <c r="A133" s="155"/>
      <c r="B133" s="155"/>
      <c r="C133" s="67"/>
      <c r="D133" s="67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55"/>
      <c r="AT133" s="155"/>
      <c r="AU133" s="155"/>
    </row>
    <row r="134">
      <c r="A134" s="155"/>
      <c r="B134" s="155"/>
      <c r="C134" s="67"/>
      <c r="D134" s="67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55"/>
      <c r="AT134" s="155"/>
      <c r="AU134" s="155"/>
    </row>
    <row r="135">
      <c r="A135" s="155"/>
      <c r="B135" s="155"/>
      <c r="C135" s="67"/>
      <c r="D135" s="67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</row>
    <row r="136">
      <c r="A136" s="155"/>
      <c r="B136" s="155"/>
      <c r="C136" s="67"/>
      <c r="D136" s="67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</row>
    <row r="137">
      <c r="A137" s="155"/>
      <c r="B137" s="155"/>
      <c r="C137" s="67"/>
      <c r="D137" s="67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55"/>
      <c r="AT137" s="155"/>
      <c r="AU137" s="155"/>
    </row>
    <row r="138">
      <c r="A138" s="155"/>
      <c r="B138" s="155"/>
      <c r="C138" s="67"/>
      <c r="D138" s="67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55"/>
      <c r="AT138" s="155"/>
      <c r="AU138" s="155"/>
    </row>
    <row r="139">
      <c r="A139" s="155"/>
      <c r="B139" s="155"/>
      <c r="C139" s="67"/>
      <c r="D139" s="67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</row>
    <row r="140">
      <c r="A140" s="155"/>
      <c r="B140" s="155"/>
      <c r="C140" s="67"/>
      <c r="D140" s="67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55"/>
      <c r="AT140" s="155"/>
      <c r="AU140" s="155"/>
    </row>
    <row r="141">
      <c r="A141" s="155"/>
      <c r="B141" s="155"/>
      <c r="C141" s="67"/>
      <c r="D141" s="67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55"/>
      <c r="AT141" s="155"/>
      <c r="AU141" s="155"/>
    </row>
    <row r="142">
      <c r="A142" s="155"/>
      <c r="B142" s="155"/>
      <c r="C142" s="67"/>
      <c r="D142" s="67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55"/>
      <c r="AT142" s="155"/>
      <c r="AU142" s="155"/>
    </row>
    <row r="143">
      <c r="A143" s="155"/>
      <c r="B143" s="155"/>
      <c r="C143" s="67"/>
      <c r="D143" s="67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55"/>
      <c r="AT143" s="155"/>
      <c r="AU143" s="155"/>
    </row>
    <row r="144">
      <c r="A144" s="155"/>
      <c r="B144" s="155"/>
      <c r="C144" s="67"/>
      <c r="D144" s="67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</row>
    <row r="145">
      <c r="A145" s="155"/>
      <c r="B145" s="155"/>
      <c r="C145" s="67"/>
      <c r="D145" s="67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55"/>
      <c r="AT145" s="155"/>
      <c r="AU145" s="155"/>
    </row>
    <row r="146">
      <c r="A146" s="155"/>
      <c r="B146" s="155"/>
      <c r="C146" s="67"/>
      <c r="D146" s="67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55"/>
      <c r="AT146" s="155"/>
      <c r="AU146" s="155"/>
    </row>
    <row r="147">
      <c r="A147" s="155"/>
      <c r="B147" s="155"/>
      <c r="C147" s="67"/>
      <c r="D147" s="67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</row>
    <row r="148">
      <c r="A148" s="155"/>
      <c r="B148" s="155"/>
      <c r="C148" s="67"/>
      <c r="D148" s="67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55"/>
      <c r="AT148" s="155"/>
      <c r="AU148" s="155"/>
    </row>
    <row r="149">
      <c r="A149" s="155"/>
      <c r="B149" s="155"/>
      <c r="C149" s="67"/>
      <c r="D149" s="67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55"/>
      <c r="AT149" s="155"/>
      <c r="AU149" s="155"/>
    </row>
    <row r="150">
      <c r="A150" s="155"/>
      <c r="B150" s="155"/>
      <c r="C150" s="67"/>
      <c r="D150" s="67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55"/>
      <c r="AT150" s="155"/>
      <c r="AU150" s="155"/>
    </row>
    <row r="151">
      <c r="A151" s="155"/>
      <c r="B151" s="155"/>
      <c r="C151" s="67"/>
      <c r="D151" s="67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</row>
    <row r="152">
      <c r="A152" s="155"/>
      <c r="B152" s="155"/>
      <c r="C152" s="67"/>
      <c r="D152" s="67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</row>
    <row r="153">
      <c r="A153" s="155"/>
      <c r="B153" s="155"/>
      <c r="C153" s="67"/>
      <c r="D153" s="67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</row>
    <row r="154">
      <c r="A154" s="155"/>
      <c r="B154" s="155"/>
      <c r="C154" s="67"/>
      <c r="D154" s="67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</row>
    <row r="155">
      <c r="A155" s="155"/>
      <c r="B155" s="155"/>
      <c r="C155" s="67"/>
      <c r="D155" s="67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</row>
    <row r="156">
      <c r="A156" s="155"/>
      <c r="B156" s="155"/>
      <c r="C156" s="67"/>
      <c r="D156" s="67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</row>
    <row r="157">
      <c r="A157" s="155"/>
      <c r="B157" s="155"/>
      <c r="C157" s="67"/>
      <c r="D157" s="67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</row>
    <row r="158">
      <c r="A158" s="155"/>
      <c r="B158" s="155"/>
      <c r="C158" s="67"/>
      <c r="D158" s="67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/>
      <c r="AT158" s="155"/>
      <c r="AU158" s="155"/>
    </row>
    <row r="159">
      <c r="A159" s="155"/>
      <c r="B159" s="155"/>
      <c r="C159" s="67"/>
      <c r="D159" s="67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155"/>
      <c r="AT159" s="155"/>
      <c r="AU159" s="155"/>
    </row>
    <row r="160">
      <c r="A160" s="155"/>
      <c r="B160" s="155"/>
      <c r="C160" s="67"/>
      <c r="D160" s="67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</row>
    <row r="161">
      <c r="A161" s="155"/>
      <c r="B161" s="155"/>
      <c r="C161" s="67"/>
      <c r="D161" s="67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</row>
    <row r="162">
      <c r="A162" s="155"/>
      <c r="B162" s="155"/>
      <c r="C162" s="67"/>
      <c r="D162" s="67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</row>
    <row r="163">
      <c r="A163" s="155"/>
      <c r="B163" s="155"/>
      <c r="C163" s="67"/>
      <c r="D163" s="67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</row>
    <row r="164">
      <c r="A164" s="155"/>
      <c r="B164" s="155"/>
      <c r="C164" s="67"/>
      <c r="D164" s="67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</row>
    <row r="165">
      <c r="A165" s="155"/>
      <c r="B165" s="155"/>
      <c r="C165" s="67"/>
      <c r="D165" s="67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</row>
    <row r="166">
      <c r="A166" s="155"/>
      <c r="B166" s="155"/>
      <c r="C166" s="67"/>
      <c r="D166" s="67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</row>
    <row r="167">
      <c r="A167" s="155"/>
      <c r="B167" s="155"/>
      <c r="C167" s="67"/>
      <c r="D167" s="67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</row>
    <row r="168">
      <c r="A168" s="155"/>
      <c r="B168" s="155"/>
      <c r="C168" s="67"/>
      <c r="D168" s="67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</row>
    <row r="169">
      <c r="A169" s="155"/>
      <c r="B169" s="155"/>
      <c r="C169" s="67"/>
      <c r="D169" s="67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</row>
    <row r="170">
      <c r="A170" s="155"/>
      <c r="B170" s="155"/>
      <c r="C170" s="67"/>
      <c r="D170" s="67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</row>
    <row r="171">
      <c r="A171" s="155"/>
      <c r="B171" s="155"/>
      <c r="C171" s="67"/>
      <c r="D171" s="67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</row>
    <row r="172">
      <c r="A172" s="155"/>
      <c r="B172" s="155"/>
      <c r="C172" s="67"/>
      <c r="D172" s="67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</row>
    <row r="173">
      <c r="A173" s="155"/>
      <c r="B173" s="155"/>
      <c r="C173" s="67"/>
      <c r="D173" s="67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</row>
    <row r="174">
      <c r="A174" s="155"/>
      <c r="B174" s="155"/>
      <c r="C174" s="67"/>
      <c r="D174" s="67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</row>
    <row r="175">
      <c r="A175" s="155"/>
      <c r="B175" s="155"/>
      <c r="C175" s="67"/>
      <c r="D175" s="67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</row>
    <row r="176">
      <c r="A176" s="155"/>
      <c r="B176" s="155"/>
      <c r="C176" s="67"/>
      <c r="D176" s="67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</row>
    <row r="177">
      <c r="A177" s="155"/>
      <c r="B177" s="155"/>
      <c r="C177" s="67"/>
      <c r="D177" s="67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</row>
    <row r="178">
      <c r="A178" s="155"/>
      <c r="B178" s="155"/>
      <c r="C178" s="67"/>
      <c r="D178" s="67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</row>
    <row r="179">
      <c r="A179" s="155"/>
      <c r="B179" s="155"/>
      <c r="C179" s="67"/>
      <c r="D179" s="67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</row>
    <row r="180">
      <c r="A180" s="155"/>
      <c r="B180" s="155"/>
      <c r="C180" s="67"/>
      <c r="D180" s="67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</row>
    <row r="181">
      <c r="A181" s="155"/>
      <c r="B181" s="155"/>
      <c r="C181" s="67"/>
      <c r="D181" s="67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</row>
    <row r="182">
      <c r="A182" s="155"/>
      <c r="B182" s="155"/>
      <c r="C182" s="67"/>
      <c r="D182" s="67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</row>
    <row r="183">
      <c r="A183" s="155"/>
      <c r="B183" s="155"/>
      <c r="C183" s="67"/>
      <c r="D183" s="67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</row>
    <row r="184">
      <c r="A184" s="155"/>
      <c r="B184" s="155"/>
      <c r="C184" s="67"/>
      <c r="D184" s="67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</row>
    <row r="185">
      <c r="A185" s="155"/>
      <c r="B185" s="155"/>
      <c r="C185" s="67"/>
      <c r="D185" s="67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</row>
    <row r="186">
      <c r="A186" s="155"/>
      <c r="B186" s="155"/>
      <c r="C186" s="67"/>
      <c r="D186" s="67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</row>
    <row r="187">
      <c r="A187" s="155"/>
      <c r="B187" s="155"/>
      <c r="C187" s="67"/>
      <c r="D187" s="67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</row>
    <row r="188">
      <c r="A188" s="155"/>
      <c r="B188" s="155"/>
      <c r="C188" s="67"/>
      <c r="D188" s="67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</row>
    <row r="189">
      <c r="A189" s="155"/>
      <c r="B189" s="155"/>
      <c r="C189" s="67"/>
      <c r="D189" s="67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</row>
    <row r="190">
      <c r="A190" s="155"/>
      <c r="B190" s="155"/>
      <c r="C190" s="67"/>
      <c r="D190" s="67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</row>
    <row r="191">
      <c r="A191" s="155"/>
      <c r="B191" s="155"/>
      <c r="C191" s="67"/>
      <c r="D191" s="67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</row>
    <row r="192">
      <c r="A192" s="155"/>
      <c r="B192" s="155"/>
      <c r="C192" s="67"/>
      <c r="D192" s="67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</row>
    <row r="193">
      <c r="A193" s="155"/>
      <c r="B193" s="155"/>
      <c r="C193" s="67"/>
      <c r="D193" s="67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</row>
    <row r="194">
      <c r="A194" s="155"/>
      <c r="B194" s="155"/>
      <c r="C194" s="67"/>
      <c r="D194" s="67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</row>
    <row r="195">
      <c r="A195" s="155"/>
      <c r="B195" s="155"/>
      <c r="C195" s="67"/>
      <c r="D195" s="67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</row>
    <row r="196">
      <c r="A196" s="155"/>
      <c r="B196" s="155"/>
      <c r="C196" s="67"/>
      <c r="D196" s="67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</row>
    <row r="197">
      <c r="A197" s="155"/>
      <c r="B197" s="155"/>
      <c r="C197" s="67"/>
      <c r="D197" s="67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</row>
    <row r="198">
      <c r="A198" s="155"/>
      <c r="B198" s="155"/>
      <c r="C198" s="67"/>
      <c r="D198" s="67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</row>
    <row r="199">
      <c r="A199" s="155"/>
      <c r="B199" s="155"/>
      <c r="C199" s="67"/>
      <c r="D199" s="67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</row>
    <row r="200">
      <c r="A200" s="155"/>
      <c r="B200" s="155"/>
      <c r="C200" s="67"/>
      <c r="D200" s="67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</row>
    <row r="201">
      <c r="A201" s="155"/>
      <c r="B201" s="155"/>
      <c r="C201" s="67"/>
      <c r="D201" s="67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</row>
    <row r="202">
      <c r="A202" s="155"/>
      <c r="B202" s="155"/>
      <c r="C202" s="67"/>
      <c r="D202" s="67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</row>
    <row r="203">
      <c r="A203" s="155"/>
      <c r="B203" s="155"/>
      <c r="C203" s="67"/>
      <c r="D203" s="67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</row>
    <row r="204">
      <c r="A204" s="155"/>
      <c r="B204" s="155"/>
      <c r="C204" s="67"/>
      <c r="D204" s="67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</row>
    <row r="205">
      <c r="A205" s="155"/>
      <c r="B205" s="155"/>
      <c r="C205" s="67"/>
      <c r="D205" s="67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</row>
    <row r="206">
      <c r="A206" s="155"/>
      <c r="B206" s="155"/>
      <c r="C206" s="67"/>
      <c r="D206" s="67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</row>
    <row r="207">
      <c r="A207" s="155"/>
      <c r="B207" s="155"/>
      <c r="C207" s="67"/>
      <c r="D207" s="67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</row>
    <row r="208">
      <c r="A208" s="155"/>
      <c r="B208" s="155"/>
      <c r="C208" s="67"/>
      <c r="D208" s="67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</row>
    <row r="209">
      <c r="A209" s="155"/>
      <c r="B209" s="155"/>
      <c r="C209" s="67"/>
      <c r="D209" s="67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</row>
    <row r="210">
      <c r="A210" s="155"/>
      <c r="B210" s="155"/>
      <c r="C210" s="67"/>
      <c r="D210" s="67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</row>
    <row r="211">
      <c r="A211" s="155"/>
      <c r="B211" s="155"/>
      <c r="C211" s="67"/>
      <c r="D211" s="67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</row>
    <row r="212">
      <c r="A212" s="155"/>
      <c r="B212" s="155"/>
      <c r="C212" s="67"/>
      <c r="D212" s="67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</row>
    <row r="213">
      <c r="A213" s="155"/>
      <c r="B213" s="155"/>
      <c r="C213" s="67"/>
      <c r="D213" s="67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</row>
    <row r="214">
      <c r="A214" s="155"/>
      <c r="B214" s="155"/>
      <c r="C214" s="67"/>
      <c r="D214" s="67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</row>
    <row r="215">
      <c r="A215" s="155"/>
      <c r="B215" s="155"/>
      <c r="C215" s="67"/>
      <c r="D215" s="67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</row>
    <row r="216">
      <c r="A216" s="155"/>
      <c r="B216" s="155"/>
      <c r="C216" s="67"/>
      <c r="D216" s="67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</row>
    <row r="217">
      <c r="A217" s="155"/>
      <c r="B217" s="155"/>
      <c r="C217" s="67"/>
      <c r="D217" s="67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</row>
    <row r="218">
      <c r="A218" s="155"/>
      <c r="B218" s="155"/>
      <c r="C218" s="67"/>
      <c r="D218" s="67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</row>
    <row r="219">
      <c r="A219" s="155"/>
      <c r="B219" s="155"/>
      <c r="C219" s="67"/>
      <c r="D219" s="67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</row>
    <row r="220">
      <c r="A220" s="155"/>
      <c r="B220" s="155"/>
      <c r="C220" s="67"/>
      <c r="D220" s="67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</row>
    <row r="221">
      <c r="A221" s="155"/>
      <c r="B221" s="155"/>
      <c r="C221" s="67"/>
      <c r="D221" s="67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</row>
    <row r="222">
      <c r="A222" s="155"/>
      <c r="B222" s="155"/>
      <c r="C222" s="67"/>
      <c r="D222" s="67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</row>
    <row r="223">
      <c r="A223" s="155"/>
      <c r="B223" s="155"/>
      <c r="C223" s="67"/>
      <c r="D223" s="67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</row>
    <row r="224">
      <c r="A224" s="155"/>
      <c r="B224" s="155"/>
      <c r="C224" s="67"/>
      <c r="D224" s="67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</row>
    <row r="225">
      <c r="A225" s="155"/>
      <c r="B225" s="155"/>
      <c r="C225" s="67"/>
      <c r="D225" s="67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</row>
    <row r="226">
      <c r="A226" s="155"/>
      <c r="B226" s="155"/>
      <c r="C226" s="67"/>
      <c r="D226" s="67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</row>
    <row r="227">
      <c r="A227" s="155"/>
      <c r="B227" s="155"/>
      <c r="C227" s="67"/>
      <c r="D227" s="67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</row>
    <row r="228">
      <c r="A228" s="155"/>
      <c r="B228" s="155"/>
      <c r="C228" s="67"/>
      <c r="D228" s="67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</row>
    <row r="229">
      <c r="A229" s="155"/>
      <c r="B229" s="155"/>
      <c r="C229" s="67"/>
      <c r="D229" s="67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</row>
    <row r="230">
      <c r="A230" s="155"/>
      <c r="B230" s="155"/>
      <c r="C230" s="67"/>
      <c r="D230" s="67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</row>
    <row r="231">
      <c r="A231" s="155"/>
      <c r="B231" s="155"/>
      <c r="C231" s="67"/>
      <c r="D231" s="67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</row>
    <row r="232">
      <c r="A232" s="155"/>
      <c r="B232" s="155"/>
      <c r="C232" s="67"/>
      <c r="D232" s="67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</row>
    <row r="233">
      <c r="A233" s="155"/>
      <c r="B233" s="155"/>
      <c r="C233" s="67"/>
      <c r="D233" s="67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</row>
    <row r="234">
      <c r="A234" s="155"/>
      <c r="B234" s="155"/>
      <c r="C234" s="67"/>
      <c r="D234" s="67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</row>
    <row r="235">
      <c r="A235" s="155"/>
      <c r="B235" s="155"/>
      <c r="C235" s="67"/>
      <c r="D235" s="67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</row>
    <row r="236">
      <c r="A236" s="155"/>
      <c r="B236" s="155"/>
      <c r="C236" s="67"/>
      <c r="D236" s="67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</row>
    <row r="237">
      <c r="A237" s="155"/>
      <c r="B237" s="155"/>
      <c r="C237" s="67"/>
      <c r="D237" s="67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</row>
    <row r="238">
      <c r="A238" s="155"/>
      <c r="B238" s="155"/>
      <c r="C238" s="67"/>
      <c r="D238" s="67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</row>
    <row r="239">
      <c r="A239" s="155"/>
      <c r="B239" s="155"/>
      <c r="C239" s="67"/>
      <c r="D239" s="67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</row>
    <row r="240">
      <c r="A240" s="155"/>
      <c r="B240" s="155"/>
      <c r="C240" s="67"/>
      <c r="D240" s="67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</row>
    <row r="241">
      <c r="A241" s="155"/>
      <c r="B241" s="155"/>
      <c r="C241" s="67"/>
      <c r="D241" s="67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</row>
    <row r="242">
      <c r="A242" s="155"/>
      <c r="B242" s="155"/>
      <c r="C242" s="67"/>
      <c r="D242" s="67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</row>
    <row r="243">
      <c r="A243" s="155"/>
      <c r="B243" s="155"/>
      <c r="C243" s="67"/>
      <c r="D243" s="67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</row>
    <row r="244">
      <c r="A244" s="155"/>
      <c r="B244" s="155"/>
      <c r="C244" s="67"/>
      <c r="D244" s="67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</row>
    <row r="245">
      <c r="A245" s="155"/>
      <c r="B245" s="155"/>
      <c r="C245" s="67"/>
      <c r="D245" s="67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</row>
    <row r="246">
      <c r="A246" s="155"/>
      <c r="B246" s="155"/>
      <c r="C246" s="67"/>
      <c r="D246" s="67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</row>
    <row r="247">
      <c r="A247" s="155"/>
      <c r="B247" s="155"/>
      <c r="C247" s="67"/>
      <c r="D247" s="67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</row>
    <row r="248">
      <c r="A248" s="155"/>
      <c r="B248" s="155"/>
      <c r="C248" s="67"/>
      <c r="D248" s="67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</row>
    <row r="249">
      <c r="A249" s="155"/>
      <c r="B249" s="155"/>
      <c r="C249" s="67"/>
      <c r="D249" s="67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</row>
    <row r="250">
      <c r="A250" s="155"/>
      <c r="B250" s="155"/>
      <c r="C250" s="67"/>
      <c r="D250" s="67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</row>
    <row r="251">
      <c r="A251" s="155"/>
      <c r="B251" s="155"/>
      <c r="C251" s="67"/>
      <c r="D251" s="67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</row>
    <row r="252">
      <c r="A252" s="155"/>
      <c r="B252" s="155"/>
      <c r="C252" s="67"/>
      <c r="D252" s="67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</row>
    <row r="253">
      <c r="A253" s="155"/>
      <c r="B253" s="155"/>
      <c r="C253" s="67"/>
      <c r="D253" s="67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</row>
    <row r="254">
      <c r="A254" s="155"/>
      <c r="B254" s="155"/>
      <c r="C254" s="67"/>
      <c r="D254" s="67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</row>
    <row r="255">
      <c r="A255" s="155"/>
      <c r="B255" s="155"/>
      <c r="C255" s="67"/>
      <c r="D255" s="67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</row>
    <row r="256">
      <c r="A256" s="155"/>
      <c r="B256" s="155"/>
      <c r="C256" s="67"/>
      <c r="D256" s="67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</row>
    <row r="257">
      <c r="A257" s="155"/>
      <c r="B257" s="155"/>
      <c r="C257" s="67"/>
      <c r="D257" s="67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</row>
    <row r="258">
      <c r="A258" s="155"/>
      <c r="B258" s="155"/>
      <c r="C258" s="67"/>
      <c r="D258" s="67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</row>
    <row r="259">
      <c r="A259" s="155"/>
      <c r="B259" s="155"/>
      <c r="C259" s="67"/>
      <c r="D259" s="67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</row>
    <row r="260">
      <c r="A260" s="155"/>
      <c r="B260" s="155"/>
      <c r="C260" s="67"/>
      <c r="D260" s="67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</row>
    <row r="261">
      <c r="A261" s="155"/>
      <c r="B261" s="155"/>
      <c r="C261" s="67"/>
      <c r="D261" s="67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</row>
    <row r="262">
      <c r="A262" s="155"/>
      <c r="B262" s="155"/>
      <c r="C262" s="67"/>
      <c r="D262" s="67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</row>
    <row r="263">
      <c r="A263" s="155"/>
      <c r="B263" s="155"/>
      <c r="C263" s="67"/>
      <c r="D263" s="67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</row>
    <row r="264">
      <c r="A264" s="155"/>
      <c r="B264" s="155"/>
      <c r="C264" s="67"/>
      <c r="D264" s="67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</row>
    <row r="265">
      <c r="A265" s="155"/>
      <c r="B265" s="155"/>
      <c r="C265" s="67"/>
      <c r="D265" s="67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</row>
    <row r="266">
      <c r="A266" s="155"/>
      <c r="B266" s="155"/>
      <c r="C266" s="67"/>
      <c r="D266" s="67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</row>
    <row r="267">
      <c r="A267" s="155"/>
      <c r="B267" s="155"/>
      <c r="C267" s="67"/>
      <c r="D267" s="67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</row>
    <row r="268">
      <c r="A268" s="155"/>
      <c r="B268" s="155"/>
      <c r="C268" s="67"/>
      <c r="D268" s="67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</row>
    <row r="269">
      <c r="A269" s="155"/>
      <c r="B269" s="155"/>
      <c r="C269" s="67"/>
      <c r="D269" s="67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</row>
    <row r="270">
      <c r="A270" s="155"/>
      <c r="B270" s="155"/>
      <c r="C270" s="67"/>
      <c r="D270" s="67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</row>
    <row r="271">
      <c r="A271" s="155"/>
      <c r="B271" s="155"/>
      <c r="C271" s="67"/>
      <c r="D271" s="67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</row>
    <row r="272">
      <c r="A272" s="155"/>
      <c r="B272" s="155"/>
      <c r="C272" s="67"/>
      <c r="D272" s="67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</row>
    <row r="273">
      <c r="A273" s="155"/>
      <c r="B273" s="155"/>
      <c r="C273" s="67"/>
      <c r="D273" s="67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</row>
    <row r="274">
      <c r="A274" s="155"/>
      <c r="B274" s="155"/>
      <c r="C274" s="67"/>
      <c r="D274" s="67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</row>
    <row r="275">
      <c r="A275" s="155"/>
      <c r="B275" s="155"/>
      <c r="C275" s="67"/>
      <c r="D275" s="67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</row>
    <row r="276">
      <c r="A276" s="155"/>
      <c r="B276" s="155"/>
      <c r="C276" s="67"/>
      <c r="D276" s="67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</row>
    <row r="277">
      <c r="A277" s="155"/>
      <c r="B277" s="155"/>
      <c r="C277" s="67"/>
      <c r="D277" s="67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</row>
    <row r="278">
      <c r="A278" s="155"/>
      <c r="B278" s="155"/>
      <c r="C278" s="67"/>
      <c r="D278" s="67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</row>
    <row r="279">
      <c r="A279" s="155"/>
      <c r="B279" s="155"/>
      <c r="C279" s="67"/>
      <c r="D279" s="67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</row>
    <row r="280">
      <c r="A280" s="155"/>
      <c r="B280" s="155"/>
      <c r="C280" s="67"/>
      <c r="D280" s="67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</row>
    <row r="281">
      <c r="A281" s="155"/>
      <c r="B281" s="155"/>
      <c r="C281" s="67"/>
      <c r="D281" s="67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</row>
    <row r="282">
      <c r="A282" s="155"/>
      <c r="B282" s="155"/>
      <c r="C282" s="67"/>
      <c r="D282" s="67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</row>
    <row r="283">
      <c r="A283" s="155"/>
      <c r="B283" s="155"/>
      <c r="C283" s="67"/>
      <c r="D283" s="67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</row>
    <row r="284">
      <c r="A284" s="155"/>
      <c r="B284" s="155"/>
      <c r="C284" s="67"/>
      <c r="D284" s="67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</row>
    <row r="285">
      <c r="A285" s="155"/>
      <c r="B285" s="155"/>
      <c r="C285" s="67"/>
      <c r="D285" s="67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</row>
    <row r="286">
      <c r="A286" s="155"/>
      <c r="B286" s="155"/>
      <c r="C286" s="67"/>
      <c r="D286" s="67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</row>
    <row r="287">
      <c r="A287" s="155"/>
      <c r="B287" s="155"/>
      <c r="C287" s="67"/>
      <c r="D287" s="67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</row>
    <row r="288">
      <c r="A288" s="155"/>
      <c r="B288" s="155"/>
      <c r="C288" s="67"/>
      <c r="D288" s="67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</row>
    <row r="289">
      <c r="A289" s="155"/>
      <c r="B289" s="155"/>
      <c r="C289" s="67"/>
      <c r="D289" s="67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</row>
    <row r="290">
      <c r="A290" s="155"/>
      <c r="B290" s="155"/>
      <c r="C290" s="67"/>
      <c r="D290" s="67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</row>
    <row r="291">
      <c r="A291" s="155"/>
      <c r="B291" s="155"/>
      <c r="C291" s="67"/>
      <c r="D291" s="67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</row>
    <row r="292">
      <c r="A292" s="155"/>
      <c r="B292" s="155"/>
      <c r="C292" s="67"/>
      <c r="D292" s="67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</row>
    <row r="293">
      <c r="A293" s="155"/>
      <c r="B293" s="155"/>
      <c r="C293" s="67"/>
      <c r="D293" s="67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</row>
    <row r="294">
      <c r="A294" s="155"/>
      <c r="B294" s="155"/>
      <c r="C294" s="67"/>
      <c r="D294" s="67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</row>
    <row r="295">
      <c r="A295" s="155"/>
      <c r="B295" s="155"/>
      <c r="C295" s="67"/>
      <c r="D295" s="67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</row>
    <row r="296">
      <c r="A296" s="155"/>
      <c r="B296" s="155"/>
      <c r="C296" s="67"/>
      <c r="D296" s="67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</row>
    <row r="297">
      <c r="A297" s="155"/>
      <c r="B297" s="155"/>
      <c r="C297" s="67"/>
      <c r="D297" s="67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</row>
    <row r="298">
      <c r="A298" s="155"/>
      <c r="B298" s="155"/>
      <c r="C298" s="67"/>
      <c r="D298" s="67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</row>
    <row r="299">
      <c r="A299" s="155"/>
      <c r="B299" s="155"/>
      <c r="C299" s="67"/>
      <c r="D299" s="67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</row>
    <row r="300">
      <c r="A300" s="155"/>
      <c r="B300" s="155"/>
      <c r="C300" s="67"/>
      <c r="D300" s="67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</row>
    <row r="301">
      <c r="A301" s="155"/>
      <c r="B301" s="155"/>
      <c r="C301" s="67"/>
      <c r="D301" s="67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</row>
    <row r="302">
      <c r="A302" s="155"/>
      <c r="B302" s="155"/>
      <c r="C302" s="67"/>
      <c r="D302" s="67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</row>
    <row r="303">
      <c r="A303" s="155"/>
      <c r="B303" s="155"/>
      <c r="C303" s="67"/>
      <c r="D303" s="67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</row>
    <row r="304">
      <c r="A304" s="155"/>
      <c r="B304" s="155"/>
      <c r="C304" s="67"/>
      <c r="D304" s="67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</row>
    <row r="305">
      <c r="A305" s="155"/>
      <c r="B305" s="155"/>
      <c r="C305" s="67"/>
      <c r="D305" s="67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</row>
    <row r="306">
      <c r="A306" s="155"/>
      <c r="B306" s="155"/>
      <c r="C306" s="67"/>
      <c r="D306" s="67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</row>
    <row r="307">
      <c r="A307" s="155"/>
      <c r="B307" s="155"/>
      <c r="C307" s="67"/>
      <c r="D307" s="67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</row>
    <row r="308">
      <c r="A308" s="155"/>
      <c r="B308" s="155"/>
      <c r="C308" s="67"/>
      <c r="D308" s="67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</row>
    <row r="309">
      <c r="A309" s="155"/>
      <c r="B309" s="155"/>
      <c r="C309" s="67"/>
      <c r="D309" s="67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</row>
    <row r="310">
      <c r="A310" s="155"/>
      <c r="B310" s="155"/>
      <c r="C310" s="67"/>
      <c r="D310" s="67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</row>
    <row r="311">
      <c r="A311" s="155"/>
      <c r="B311" s="155"/>
      <c r="C311" s="67"/>
      <c r="D311" s="67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</row>
    <row r="312">
      <c r="A312" s="155"/>
      <c r="B312" s="155"/>
      <c r="C312" s="67"/>
      <c r="D312" s="67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</row>
    <row r="313">
      <c r="A313" s="155"/>
      <c r="B313" s="155"/>
      <c r="C313" s="67"/>
      <c r="D313" s="67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</row>
    <row r="314">
      <c r="A314" s="155"/>
      <c r="B314" s="155"/>
      <c r="C314" s="67"/>
      <c r="D314" s="67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</row>
    <row r="315">
      <c r="A315" s="155"/>
      <c r="B315" s="155"/>
      <c r="C315" s="67"/>
      <c r="D315" s="67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</row>
    <row r="316">
      <c r="A316" s="155"/>
      <c r="B316" s="155"/>
      <c r="C316" s="67"/>
      <c r="D316" s="67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</row>
    <row r="317">
      <c r="A317" s="155"/>
      <c r="B317" s="155"/>
      <c r="C317" s="67"/>
      <c r="D317" s="67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</row>
    <row r="318">
      <c r="A318" s="155"/>
      <c r="B318" s="155"/>
      <c r="C318" s="67"/>
      <c r="D318" s="67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</row>
    <row r="319">
      <c r="A319" s="155"/>
      <c r="B319" s="155"/>
      <c r="C319" s="67"/>
      <c r="D319" s="67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</row>
    <row r="320">
      <c r="A320" s="155"/>
      <c r="B320" s="155"/>
      <c r="C320" s="67"/>
      <c r="D320" s="67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</row>
    <row r="321">
      <c r="A321" s="155"/>
      <c r="B321" s="155"/>
      <c r="C321" s="67"/>
      <c r="D321" s="67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</row>
    <row r="322">
      <c r="A322" s="155"/>
      <c r="B322" s="155"/>
      <c r="C322" s="67"/>
      <c r="D322" s="67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</row>
    <row r="323">
      <c r="A323" s="155"/>
      <c r="B323" s="155"/>
      <c r="C323" s="67"/>
      <c r="D323" s="67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</row>
    <row r="324">
      <c r="A324" s="155"/>
      <c r="B324" s="155"/>
      <c r="C324" s="67"/>
      <c r="D324" s="67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</row>
    <row r="325">
      <c r="A325" s="155"/>
      <c r="B325" s="155"/>
      <c r="C325" s="67"/>
      <c r="D325" s="67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</row>
    <row r="326">
      <c r="A326" s="155"/>
      <c r="B326" s="155"/>
      <c r="C326" s="67"/>
      <c r="D326" s="67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</row>
    <row r="327">
      <c r="A327" s="155"/>
      <c r="B327" s="155"/>
      <c r="C327" s="67"/>
      <c r="D327" s="67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</row>
    <row r="328">
      <c r="A328" s="155"/>
      <c r="B328" s="155"/>
      <c r="C328" s="67"/>
      <c r="D328" s="67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</row>
    <row r="329">
      <c r="A329" s="155"/>
      <c r="B329" s="155"/>
      <c r="C329" s="67"/>
      <c r="D329" s="67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</row>
    <row r="330">
      <c r="A330" s="155"/>
      <c r="B330" s="155"/>
      <c r="C330" s="67"/>
      <c r="D330" s="67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</row>
    <row r="331">
      <c r="A331" s="155"/>
      <c r="B331" s="155"/>
      <c r="C331" s="67"/>
      <c r="D331" s="67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</row>
    <row r="332">
      <c r="A332" s="155"/>
      <c r="B332" s="155"/>
      <c r="C332" s="67"/>
      <c r="D332" s="67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</row>
    <row r="333">
      <c r="A333" s="155"/>
      <c r="B333" s="155"/>
      <c r="C333" s="67"/>
      <c r="D333" s="67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</row>
    <row r="334">
      <c r="A334" s="155"/>
      <c r="B334" s="155"/>
      <c r="C334" s="67"/>
      <c r="D334" s="67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</row>
    <row r="335">
      <c r="A335" s="155"/>
      <c r="B335" s="155"/>
      <c r="C335" s="67"/>
      <c r="D335" s="67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</row>
    <row r="336">
      <c r="A336" s="155"/>
      <c r="B336" s="155"/>
      <c r="C336" s="67"/>
      <c r="D336" s="67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</row>
    <row r="337">
      <c r="A337" s="155"/>
      <c r="B337" s="155"/>
      <c r="C337" s="67"/>
      <c r="D337" s="67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</row>
    <row r="338">
      <c r="A338" s="155"/>
      <c r="B338" s="155"/>
      <c r="C338" s="67"/>
      <c r="D338" s="67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</row>
    <row r="339">
      <c r="A339" s="155"/>
      <c r="B339" s="155"/>
      <c r="C339" s="67"/>
      <c r="D339" s="67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</row>
    <row r="340">
      <c r="A340" s="155"/>
      <c r="B340" s="155"/>
      <c r="C340" s="67"/>
      <c r="D340" s="67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</row>
    <row r="341">
      <c r="A341" s="155"/>
      <c r="B341" s="155"/>
      <c r="C341" s="67"/>
      <c r="D341" s="67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</row>
    <row r="342">
      <c r="A342" s="155"/>
      <c r="B342" s="155"/>
      <c r="C342" s="67"/>
      <c r="D342" s="67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</row>
    <row r="343">
      <c r="A343" s="155"/>
      <c r="B343" s="155"/>
      <c r="C343" s="67"/>
      <c r="D343" s="67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</row>
    <row r="344">
      <c r="A344" s="155"/>
      <c r="B344" s="155"/>
      <c r="C344" s="67"/>
      <c r="D344" s="67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</row>
    <row r="345">
      <c r="A345" s="155"/>
      <c r="B345" s="155"/>
      <c r="C345" s="67"/>
      <c r="D345" s="67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</row>
    <row r="346">
      <c r="A346" s="155"/>
      <c r="B346" s="155"/>
      <c r="C346" s="67"/>
      <c r="D346" s="67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</row>
    <row r="347">
      <c r="A347" s="155"/>
      <c r="B347" s="155"/>
      <c r="C347" s="67"/>
      <c r="D347" s="67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</row>
    <row r="348">
      <c r="A348" s="155"/>
      <c r="B348" s="155"/>
      <c r="C348" s="67"/>
      <c r="D348" s="67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</row>
    <row r="349">
      <c r="A349" s="155"/>
      <c r="B349" s="155"/>
      <c r="C349" s="67"/>
      <c r="D349" s="67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</row>
    <row r="350">
      <c r="A350" s="155"/>
      <c r="B350" s="155"/>
      <c r="C350" s="67"/>
      <c r="D350" s="67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</row>
    <row r="351">
      <c r="A351" s="155"/>
      <c r="B351" s="155"/>
      <c r="C351" s="67"/>
      <c r="D351" s="67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</row>
    <row r="352">
      <c r="A352" s="155"/>
      <c r="B352" s="155"/>
      <c r="C352" s="67"/>
      <c r="D352" s="67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</row>
    <row r="353">
      <c r="A353" s="155"/>
      <c r="B353" s="155"/>
      <c r="C353" s="67"/>
      <c r="D353" s="67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</row>
    <row r="354">
      <c r="A354" s="155"/>
      <c r="B354" s="155"/>
      <c r="C354" s="67"/>
      <c r="D354" s="67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</row>
    <row r="355">
      <c r="A355" s="155"/>
      <c r="B355" s="155"/>
      <c r="C355" s="67"/>
      <c r="D355" s="67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</row>
    <row r="356">
      <c r="A356" s="155"/>
      <c r="B356" s="155"/>
      <c r="C356" s="67"/>
      <c r="D356" s="67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</row>
    <row r="357">
      <c r="A357" s="155"/>
      <c r="B357" s="155"/>
      <c r="C357" s="67"/>
      <c r="D357" s="67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</row>
    <row r="358">
      <c r="A358" s="155"/>
      <c r="B358" s="155"/>
      <c r="C358" s="67"/>
      <c r="D358" s="67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</row>
    <row r="359">
      <c r="A359" s="155"/>
      <c r="B359" s="155"/>
      <c r="C359" s="67"/>
      <c r="D359" s="67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</row>
    <row r="360">
      <c r="A360" s="155"/>
      <c r="B360" s="155"/>
      <c r="C360" s="67"/>
      <c r="D360" s="67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</row>
    <row r="361">
      <c r="A361" s="155"/>
      <c r="B361" s="155"/>
      <c r="C361" s="67"/>
      <c r="D361" s="67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</row>
    <row r="362">
      <c r="A362" s="155"/>
      <c r="B362" s="155"/>
      <c r="C362" s="67"/>
      <c r="D362" s="67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</row>
    <row r="363">
      <c r="A363" s="155"/>
      <c r="B363" s="155"/>
      <c r="C363" s="67"/>
      <c r="D363" s="67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</row>
    <row r="364">
      <c r="A364" s="155"/>
      <c r="B364" s="155"/>
      <c r="C364" s="67"/>
      <c r="D364" s="67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</row>
    <row r="365">
      <c r="A365" s="155"/>
      <c r="B365" s="155"/>
      <c r="C365" s="67"/>
      <c r="D365" s="67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</row>
    <row r="366">
      <c r="A366" s="155"/>
      <c r="B366" s="155"/>
      <c r="C366" s="67"/>
      <c r="D366" s="67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</row>
    <row r="367">
      <c r="A367" s="155"/>
      <c r="B367" s="155"/>
      <c r="C367" s="67"/>
      <c r="D367" s="67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</row>
    <row r="368">
      <c r="A368" s="155"/>
      <c r="B368" s="155"/>
      <c r="C368" s="67"/>
      <c r="D368" s="67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</row>
    <row r="369">
      <c r="A369" s="155"/>
      <c r="B369" s="155"/>
      <c r="C369" s="67"/>
      <c r="D369" s="67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</row>
    <row r="370">
      <c r="A370" s="155"/>
      <c r="B370" s="155"/>
      <c r="C370" s="67"/>
      <c r="D370" s="67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</row>
    <row r="371">
      <c r="A371" s="155"/>
      <c r="B371" s="155"/>
      <c r="C371" s="67"/>
      <c r="D371" s="67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</row>
    <row r="372">
      <c r="A372" s="155"/>
      <c r="B372" s="155"/>
      <c r="C372" s="67"/>
      <c r="D372" s="67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</row>
    <row r="373">
      <c r="A373" s="155"/>
      <c r="B373" s="155"/>
      <c r="C373" s="67"/>
      <c r="D373" s="67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</row>
    <row r="374">
      <c r="A374" s="155"/>
      <c r="B374" s="155"/>
      <c r="C374" s="67"/>
      <c r="D374" s="67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</row>
    <row r="375">
      <c r="A375" s="155"/>
      <c r="B375" s="155"/>
      <c r="C375" s="67"/>
      <c r="D375" s="67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</row>
    <row r="376">
      <c r="A376" s="155"/>
      <c r="B376" s="155"/>
      <c r="C376" s="67"/>
      <c r="D376" s="67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</row>
    <row r="377">
      <c r="A377" s="155"/>
      <c r="B377" s="155"/>
      <c r="C377" s="67"/>
      <c r="D377" s="67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</row>
    <row r="378">
      <c r="A378" s="155"/>
      <c r="B378" s="155"/>
      <c r="C378" s="67"/>
      <c r="D378" s="67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</row>
    <row r="379">
      <c r="A379" s="155"/>
      <c r="B379" s="155"/>
      <c r="C379" s="67"/>
      <c r="D379" s="67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</row>
    <row r="380">
      <c r="A380" s="155"/>
      <c r="B380" s="155"/>
      <c r="C380" s="67"/>
      <c r="D380" s="67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</row>
    <row r="381">
      <c r="A381" s="155"/>
      <c r="B381" s="155"/>
      <c r="C381" s="67"/>
      <c r="D381" s="67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</row>
    <row r="382">
      <c r="A382" s="155"/>
      <c r="B382" s="155"/>
      <c r="C382" s="67"/>
      <c r="D382" s="67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</row>
    <row r="383">
      <c r="A383" s="155"/>
      <c r="B383" s="155"/>
      <c r="C383" s="67"/>
      <c r="D383" s="67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</row>
    <row r="384">
      <c r="A384" s="155"/>
      <c r="B384" s="155"/>
      <c r="C384" s="67"/>
      <c r="D384" s="67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</row>
    <row r="385">
      <c r="A385" s="155"/>
      <c r="B385" s="155"/>
      <c r="C385" s="67"/>
      <c r="D385" s="67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</row>
    <row r="386">
      <c r="A386" s="155"/>
      <c r="B386" s="155"/>
      <c r="C386" s="67"/>
      <c r="D386" s="67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</row>
    <row r="387">
      <c r="A387" s="155"/>
      <c r="B387" s="155"/>
      <c r="C387" s="67"/>
      <c r="D387" s="67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</row>
    <row r="388">
      <c r="A388" s="155"/>
      <c r="B388" s="155"/>
      <c r="C388" s="67"/>
      <c r="D388" s="67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</row>
    <row r="389">
      <c r="A389" s="155"/>
      <c r="B389" s="155"/>
      <c r="C389" s="67"/>
      <c r="D389" s="67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</row>
    <row r="390">
      <c r="A390" s="155"/>
      <c r="B390" s="155"/>
      <c r="C390" s="67"/>
      <c r="D390" s="67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</row>
    <row r="391">
      <c r="A391" s="155"/>
      <c r="B391" s="155"/>
      <c r="C391" s="67"/>
      <c r="D391" s="67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</row>
    <row r="392">
      <c r="A392" s="155"/>
      <c r="B392" s="155"/>
      <c r="C392" s="67"/>
      <c r="D392" s="67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</row>
    <row r="393">
      <c r="A393" s="155"/>
      <c r="B393" s="155"/>
      <c r="C393" s="67"/>
      <c r="D393" s="67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</row>
    <row r="394">
      <c r="A394" s="155"/>
      <c r="B394" s="155"/>
      <c r="C394" s="67"/>
      <c r="D394" s="67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</row>
    <row r="395">
      <c r="A395" s="155"/>
      <c r="B395" s="155"/>
      <c r="C395" s="67"/>
      <c r="D395" s="67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</row>
    <row r="396">
      <c r="A396" s="155"/>
      <c r="B396" s="155"/>
      <c r="C396" s="67"/>
      <c r="D396" s="67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</row>
    <row r="397">
      <c r="A397" s="155"/>
      <c r="B397" s="155"/>
      <c r="C397" s="67"/>
      <c r="D397" s="67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</row>
    <row r="398">
      <c r="A398" s="155"/>
      <c r="B398" s="155"/>
      <c r="C398" s="67"/>
      <c r="D398" s="67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</row>
    <row r="399">
      <c r="A399" s="155"/>
      <c r="B399" s="155"/>
      <c r="C399" s="67"/>
      <c r="D399" s="67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</row>
    <row r="400">
      <c r="A400" s="155"/>
      <c r="B400" s="155"/>
      <c r="C400" s="67"/>
      <c r="D400" s="67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</row>
    <row r="401">
      <c r="A401" s="155"/>
      <c r="B401" s="155"/>
      <c r="C401" s="67"/>
      <c r="D401" s="67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</row>
    <row r="402">
      <c r="A402" s="155"/>
      <c r="B402" s="155"/>
      <c r="C402" s="67"/>
      <c r="D402" s="67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</row>
    <row r="403">
      <c r="A403" s="155"/>
      <c r="B403" s="155"/>
      <c r="C403" s="67"/>
      <c r="D403" s="67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</row>
    <row r="404">
      <c r="A404" s="155"/>
      <c r="B404" s="155"/>
      <c r="C404" s="67"/>
      <c r="D404" s="67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</row>
    <row r="405">
      <c r="A405" s="155"/>
      <c r="B405" s="155"/>
      <c r="C405" s="67"/>
      <c r="D405" s="67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</row>
    <row r="406">
      <c r="A406" s="155"/>
      <c r="B406" s="155"/>
      <c r="C406" s="67"/>
      <c r="D406" s="67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</row>
    <row r="407">
      <c r="A407" s="155"/>
      <c r="B407" s="155"/>
      <c r="C407" s="67"/>
      <c r="D407" s="67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</row>
    <row r="408">
      <c r="A408" s="155"/>
      <c r="B408" s="155"/>
      <c r="C408" s="67"/>
      <c r="D408" s="67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</row>
    <row r="409">
      <c r="A409" s="155"/>
      <c r="B409" s="155"/>
      <c r="C409" s="67"/>
      <c r="D409" s="67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</row>
    <row r="410">
      <c r="A410" s="155"/>
      <c r="B410" s="155"/>
      <c r="C410" s="67"/>
      <c r="D410" s="67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</row>
    <row r="411">
      <c r="A411" s="155"/>
      <c r="B411" s="155"/>
      <c r="C411" s="67"/>
      <c r="D411" s="67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</row>
    <row r="412">
      <c r="A412" s="155"/>
      <c r="B412" s="155"/>
      <c r="C412" s="67"/>
      <c r="D412" s="67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</row>
    <row r="413">
      <c r="A413" s="155"/>
      <c r="B413" s="155"/>
      <c r="C413" s="67"/>
      <c r="D413" s="67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</row>
    <row r="414">
      <c r="A414" s="155"/>
      <c r="B414" s="155"/>
      <c r="C414" s="67"/>
      <c r="D414" s="67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</row>
    <row r="415">
      <c r="A415" s="155"/>
      <c r="B415" s="155"/>
      <c r="C415" s="67"/>
      <c r="D415" s="67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</row>
    <row r="416">
      <c r="A416" s="155"/>
      <c r="B416" s="155"/>
      <c r="C416" s="67"/>
      <c r="D416" s="67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</row>
    <row r="417">
      <c r="A417" s="155"/>
      <c r="B417" s="155"/>
      <c r="C417" s="67"/>
      <c r="D417" s="67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</row>
    <row r="418">
      <c r="A418" s="155"/>
      <c r="B418" s="155"/>
      <c r="C418" s="67"/>
      <c r="D418" s="67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</row>
    <row r="419">
      <c r="A419" s="155"/>
      <c r="B419" s="155"/>
      <c r="C419" s="67"/>
      <c r="D419" s="67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</row>
    <row r="420">
      <c r="A420" s="155"/>
      <c r="B420" s="155"/>
      <c r="C420" s="67"/>
      <c r="D420" s="67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</row>
    <row r="421">
      <c r="A421" s="155"/>
      <c r="B421" s="155"/>
      <c r="C421" s="67"/>
      <c r="D421" s="67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</row>
    <row r="422">
      <c r="A422" s="155"/>
      <c r="B422" s="155"/>
      <c r="C422" s="67"/>
      <c r="D422" s="67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</row>
    <row r="423">
      <c r="A423" s="155"/>
      <c r="B423" s="155"/>
      <c r="C423" s="67"/>
      <c r="D423" s="67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</row>
    <row r="424">
      <c r="A424" s="155"/>
      <c r="B424" s="155"/>
      <c r="C424" s="67"/>
      <c r="D424" s="67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</row>
    <row r="425">
      <c r="A425" s="155"/>
      <c r="B425" s="155"/>
      <c r="C425" s="67"/>
      <c r="D425" s="67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</row>
    <row r="426">
      <c r="A426" s="155"/>
      <c r="B426" s="155"/>
      <c r="C426" s="67"/>
      <c r="D426" s="67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</row>
    <row r="427">
      <c r="A427" s="155"/>
      <c r="B427" s="155"/>
      <c r="C427" s="67"/>
      <c r="D427" s="67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</row>
    <row r="428">
      <c r="A428" s="155"/>
      <c r="B428" s="155"/>
      <c r="C428" s="67"/>
      <c r="D428" s="67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</row>
    <row r="429">
      <c r="A429" s="155"/>
      <c r="B429" s="155"/>
      <c r="C429" s="67"/>
      <c r="D429" s="67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</row>
    <row r="430">
      <c r="A430" s="155"/>
      <c r="B430" s="155"/>
      <c r="C430" s="67"/>
      <c r="D430" s="67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</row>
    <row r="431">
      <c r="A431" s="155"/>
      <c r="B431" s="155"/>
      <c r="C431" s="67"/>
      <c r="D431" s="67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</row>
    <row r="432">
      <c r="A432" s="155"/>
      <c r="B432" s="155"/>
      <c r="C432" s="67"/>
      <c r="D432" s="67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</row>
    <row r="433">
      <c r="A433" s="155"/>
      <c r="B433" s="155"/>
      <c r="C433" s="67"/>
      <c r="D433" s="67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</row>
    <row r="434">
      <c r="A434" s="155"/>
      <c r="B434" s="155"/>
      <c r="C434" s="67"/>
      <c r="D434" s="67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</row>
    <row r="435">
      <c r="A435" s="155"/>
      <c r="B435" s="155"/>
      <c r="C435" s="67"/>
      <c r="D435" s="67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</row>
    <row r="436">
      <c r="A436" s="155"/>
      <c r="B436" s="155"/>
      <c r="C436" s="67"/>
      <c r="D436" s="67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</row>
    <row r="437">
      <c r="A437" s="155"/>
      <c r="B437" s="155"/>
      <c r="C437" s="67"/>
      <c r="D437" s="67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</row>
    <row r="438">
      <c r="A438" s="155"/>
      <c r="B438" s="155"/>
      <c r="C438" s="67"/>
      <c r="D438" s="67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</row>
    <row r="439">
      <c r="A439" s="155"/>
      <c r="B439" s="155"/>
      <c r="C439" s="67"/>
      <c r="D439" s="67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</row>
    <row r="440">
      <c r="A440" s="155"/>
      <c r="B440" s="155"/>
      <c r="C440" s="67"/>
      <c r="D440" s="67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</row>
    <row r="441">
      <c r="A441" s="155"/>
      <c r="B441" s="155"/>
      <c r="C441" s="67"/>
      <c r="D441" s="67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</row>
    <row r="442">
      <c r="A442" s="155"/>
      <c r="B442" s="155"/>
      <c r="C442" s="67"/>
      <c r="D442" s="67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</row>
    <row r="443">
      <c r="A443" s="155"/>
      <c r="B443" s="155"/>
      <c r="C443" s="67"/>
      <c r="D443" s="67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</row>
    <row r="444">
      <c r="A444" s="155"/>
      <c r="B444" s="155"/>
      <c r="C444" s="67"/>
      <c r="D444" s="67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</row>
    <row r="445">
      <c r="A445" s="155"/>
      <c r="B445" s="155"/>
      <c r="C445" s="67"/>
      <c r="D445" s="67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</row>
    <row r="446">
      <c r="A446" s="155"/>
      <c r="B446" s="155"/>
      <c r="C446" s="67"/>
      <c r="D446" s="67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</row>
    <row r="447">
      <c r="A447" s="155"/>
      <c r="B447" s="155"/>
      <c r="C447" s="67"/>
      <c r="D447" s="67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</row>
    <row r="448">
      <c r="A448" s="155"/>
      <c r="B448" s="155"/>
      <c r="C448" s="67"/>
      <c r="D448" s="67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</row>
    <row r="449">
      <c r="A449" s="155"/>
      <c r="B449" s="155"/>
      <c r="C449" s="67"/>
      <c r="D449" s="67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</row>
    <row r="450">
      <c r="A450" s="155"/>
      <c r="B450" s="155"/>
      <c r="C450" s="67"/>
      <c r="D450" s="67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</row>
    <row r="451">
      <c r="A451" s="155"/>
      <c r="B451" s="155"/>
      <c r="C451" s="67"/>
      <c r="D451" s="67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</row>
    <row r="452">
      <c r="A452" s="155"/>
      <c r="B452" s="155"/>
      <c r="C452" s="67"/>
      <c r="D452" s="67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</row>
    <row r="453">
      <c r="A453" s="155"/>
      <c r="B453" s="155"/>
      <c r="C453" s="67"/>
      <c r="D453" s="67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</row>
    <row r="454">
      <c r="A454" s="155"/>
      <c r="B454" s="155"/>
      <c r="C454" s="67"/>
      <c r="D454" s="67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</row>
    <row r="455">
      <c r="A455" s="155"/>
      <c r="B455" s="155"/>
      <c r="C455" s="67"/>
      <c r="D455" s="67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</row>
    <row r="456">
      <c r="A456" s="155"/>
      <c r="B456" s="155"/>
      <c r="C456" s="67"/>
      <c r="D456" s="67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</row>
    <row r="457">
      <c r="A457" s="155"/>
      <c r="B457" s="155"/>
      <c r="C457" s="67"/>
      <c r="D457" s="67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</row>
    <row r="458">
      <c r="A458" s="155"/>
      <c r="B458" s="155"/>
      <c r="C458" s="67"/>
      <c r="D458" s="67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</row>
    <row r="459">
      <c r="A459" s="155"/>
      <c r="B459" s="155"/>
      <c r="C459" s="67"/>
      <c r="D459" s="67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</row>
    <row r="460">
      <c r="A460" s="155"/>
      <c r="B460" s="155"/>
      <c r="C460" s="67"/>
      <c r="D460" s="67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</row>
    <row r="461">
      <c r="A461" s="155"/>
      <c r="B461" s="155"/>
      <c r="C461" s="67"/>
      <c r="D461" s="67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</row>
    <row r="462">
      <c r="A462" s="155"/>
      <c r="B462" s="155"/>
      <c r="C462" s="67"/>
      <c r="D462" s="67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</row>
    <row r="463">
      <c r="A463" s="155"/>
      <c r="B463" s="155"/>
      <c r="C463" s="67"/>
      <c r="D463" s="67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</row>
    <row r="464">
      <c r="A464" s="155"/>
      <c r="B464" s="155"/>
      <c r="C464" s="67"/>
      <c r="D464" s="67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</row>
    <row r="465">
      <c r="A465" s="155"/>
      <c r="B465" s="155"/>
      <c r="C465" s="67"/>
      <c r="D465" s="67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</row>
    <row r="466">
      <c r="A466" s="155"/>
      <c r="B466" s="155"/>
      <c r="C466" s="67"/>
      <c r="D466" s="67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</row>
    <row r="467">
      <c r="A467" s="155"/>
      <c r="B467" s="155"/>
      <c r="C467" s="67"/>
      <c r="D467" s="67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</row>
    <row r="468">
      <c r="A468" s="155"/>
      <c r="B468" s="155"/>
      <c r="C468" s="67"/>
      <c r="D468" s="67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</row>
    <row r="469">
      <c r="A469" s="155"/>
      <c r="B469" s="155"/>
      <c r="C469" s="67"/>
      <c r="D469" s="67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</row>
    <row r="470">
      <c r="A470" s="155"/>
      <c r="B470" s="155"/>
      <c r="C470" s="67"/>
      <c r="D470" s="67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</row>
    <row r="471">
      <c r="A471" s="155"/>
      <c r="B471" s="155"/>
      <c r="C471" s="67"/>
      <c r="D471" s="67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</row>
    <row r="472">
      <c r="A472" s="155"/>
      <c r="B472" s="155"/>
      <c r="C472" s="67"/>
      <c r="D472" s="67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</row>
    <row r="473">
      <c r="A473" s="155"/>
      <c r="B473" s="155"/>
      <c r="C473" s="67"/>
      <c r="D473" s="67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</row>
    <row r="474">
      <c r="A474" s="155"/>
      <c r="B474" s="155"/>
      <c r="C474" s="67"/>
      <c r="D474" s="67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</row>
    <row r="475">
      <c r="A475" s="155"/>
      <c r="B475" s="155"/>
      <c r="C475" s="67"/>
      <c r="D475" s="67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</row>
    <row r="476">
      <c r="A476" s="155"/>
      <c r="B476" s="155"/>
      <c r="C476" s="67"/>
      <c r="D476" s="67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</row>
    <row r="477">
      <c r="A477" s="155"/>
      <c r="B477" s="155"/>
      <c r="C477" s="67"/>
      <c r="D477" s="67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</row>
    <row r="478">
      <c r="A478" s="155"/>
      <c r="B478" s="155"/>
      <c r="C478" s="67"/>
      <c r="D478" s="67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</row>
    <row r="479">
      <c r="A479" s="155"/>
      <c r="B479" s="155"/>
      <c r="C479" s="67"/>
      <c r="D479" s="67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</row>
    <row r="480">
      <c r="A480" s="155"/>
      <c r="B480" s="155"/>
      <c r="C480" s="67"/>
      <c r="D480" s="67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</row>
    <row r="481">
      <c r="A481" s="155"/>
      <c r="B481" s="155"/>
      <c r="C481" s="67"/>
      <c r="D481" s="67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</row>
    <row r="482">
      <c r="A482" s="155"/>
      <c r="B482" s="155"/>
      <c r="C482" s="67"/>
      <c r="D482" s="67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</row>
    <row r="483">
      <c r="A483" s="155"/>
      <c r="B483" s="155"/>
      <c r="C483" s="67"/>
      <c r="D483" s="67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</row>
    <row r="484">
      <c r="A484" s="155"/>
      <c r="B484" s="155"/>
      <c r="C484" s="67"/>
      <c r="D484" s="67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</row>
    <row r="485">
      <c r="A485" s="155"/>
      <c r="B485" s="155"/>
      <c r="C485" s="67"/>
      <c r="D485" s="67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</row>
    <row r="486">
      <c r="A486" s="155"/>
      <c r="B486" s="155"/>
      <c r="C486" s="67"/>
      <c r="D486" s="67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</row>
    <row r="487">
      <c r="A487" s="155"/>
      <c r="B487" s="155"/>
      <c r="C487" s="67"/>
      <c r="D487" s="67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</row>
    <row r="488">
      <c r="A488" s="155"/>
      <c r="B488" s="155"/>
      <c r="C488" s="67"/>
      <c r="D488" s="67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</row>
    <row r="489">
      <c r="A489" s="155"/>
      <c r="B489" s="155"/>
      <c r="C489" s="67"/>
      <c r="D489" s="67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</row>
    <row r="490">
      <c r="A490" s="155"/>
      <c r="B490" s="155"/>
      <c r="C490" s="67"/>
      <c r="D490" s="67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</row>
    <row r="491">
      <c r="A491" s="155"/>
      <c r="B491" s="155"/>
      <c r="C491" s="67"/>
      <c r="D491" s="67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</row>
    <row r="492">
      <c r="A492" s="155"/>
      <c r="B492" s="155"/>
      <c r="C492" s="67"/>
      <c r="D492" s="67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</row>
    <row r="493">
      <c r="A493" s="155"/>
      <c r="B493" s="155"/>
      <c r="C493" s="67"/>
      <c r="D493" s="67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</row>
    <row r="494">
      <c r="A494" s="155"/>
      <c r="B494" s="155"/>
      <c r="C494" s="67"/>
      <c r="D494" s="67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</row>
    <row r="495">
      <c r="A495" s="155"/>
      <c r="B495" s="155"/>
      <c r="C495" s="67"/>
      <c r="D495" s="67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</row>
    <row r="496">
      <c r="A496" s="155"/>
      <c r="B496" s="155"/>
      <c r="C496" s="67"/>
      <c r="D496" s="67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</row>
    <row r="497">
      <c r="A497" s="155"/>
      <c r="B497" s="155"/>
      <c r="C497" s="67"/>
      <c r="D497" s="67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</row>
    <row r="498">
      <c r="A498" s="155"/>
      <c r="B498" s="155"/>
      <c r="C498" s="67"/>
      <c r="D498" s="67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</row>
    <row r="499">
      <c r="A499" s="155"/>
      <c r="B499" s="155"/>
      <c r="C499" s="67"/>
      <c r="D499" s="67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</row>
    <row r="500">
      <c r="A500" s="155"/>
      <c r="B500" s="155"/>
      <c r="C500" s="67"/>
      <c r="D500" s="67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</row>
    <row r="501">
      <c r="A501" s="155"/>
      <c r="B501" s="155"/>
      <c r="C501" s="67"/>
      <c r="D501" s="67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</row>
    <row r="502">
      <c r="A502" s="155"/>
      <c r="B502" s="155"/>
      <c r="C502" s="67"/>
      <c r="D502" s="67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</row>
    <row r="503">
      <c r="A503" s="155"/>
      <c r="B503" s="155"/>
      <c r="C503" s="67"/>
      <c r="D503" s="67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</row>
    <row r="504">
      <c r="A504" s="155"/>
      <c r="B504" s="155"/>
      <c r="C504" s="67"/>
      <c r="D504" s="67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</row>
    <row r="505">
      <c r="A505" s="155"/>
      <c r="B505" s="155"/>
      <c r="C505" s="67"/>
      <c r="D505" s="67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</row>
    <row r="506">
      <c r="A506" s="155"/>
      <c r="B506" s="155"/>
      <c r="C506" s="67"/>
      <c r="D506" s="67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</row>
    <row r="507">
      <c r="A507" s="155"/>
      <c r="B507" s="155"/>
      <c r="C507" s="67"/>
      <c r="D507" s="67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</row>
    <row r="508">
      <c r="A508" s="155"/>
      <c r="B508" s="155"/>
      <c r="C508" s="67"/>
      <c r="D508" s="67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</row>
    <row r="509">
      <c r="A509" s="155"/>
      <c r="B509" s="155"/>
      <c r="C509" s="67"/>
      <c r="D509" s="67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</row>
    <row r="510">
      <c r="A510" s="155"/>
      <c r="B510" s="155"/>
      <c r="C510" s="67"/>
      <c r="D510" s="67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</row>
    <row r="511">
      <c r="A511" s="155"/>
      <c r="B511" s="155"/>
      <c r="C511" s="67"/>
      <c r="D511" s="67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</row>
    <row r="512">
      <c r="A512" s="155"/>
      <c r="B512" s="155"/>
      <c r="C512" s="67"/>
      <c r="D512" s="67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</row>
    <row r="513">
      <c r="A513" s="155"/>
      <c r="B513" s="155"/>
      <c r="C513" s="67"/>
      <c r="D513" s="67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</row>
    <row r="514">
      <c r="A514" s="155"/>
      <c r="B514" s="155"/>
      <c r="C514" s="67"/>
      <c r="D514" s="67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</row>
    <row r="515">
      <c r="A515" s="155"/>
      <c r="B515" s="155"/>
      <c r="C515" s="67"/>
      <c r="D515" s="67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</row>
    <row r="516">
      <c r="A516" s="155"/>
      <c r="B516" s="155"/>
      <c r="C516" s="67"/>
      <c r="D516" s="67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</row>
    <row r="517">
      <c r="A517" s="155"/>
      <c r="B517" s="155"/>
      <c r="C517" s="67"/>
      <c r="D517" s="67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</row>
    <row r="518">
      <c r="A518" s="155"/>
      <c r="B518" s="155"/>
      <c r="C518" s="67"/>
      <c r="D518" s="67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</row>
    <row r="519">
      <c r="A519" s="155"/>
      <c r="B519" s="155"/>
      <c r="C519" s="67"/>
      <c r="D519" s="67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</row>
    <row r="520">
      <c r="A520" s="155"/>
      <c r="B520" s="155"/>
      <c r="C520" s="67"/>
      <c r="D520" s="67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</row>
    <row r="521">
      <c r="A521" s="155"/>
      <c r="B521" s="155"/>
      <c r="C521" s="67"/>
      <c r="D521" s="67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</row>
    <row r="522">
      <c r="A522" s="155"/>
      <c r="B522" s="155"/>
      <c r="C522" s="67"/>
      <c r="D522" s="67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</row>
    <row r="523">
      <c r="A523" s="155"/>
      <c r="B523" s="155"/>
      <c r="C523" s="67"/>
      <c r="D523" s="67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</row>
    <row r="524">
      <c r="A524" s="155"/>
      <c r="B524" s="155"/>
      <c r="C524" s="67"/>
      <c r="D524" s="67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</row>
    <row r="525">
      <c r="A525" s="155"/>
      <c r="B525" s="155"/>
      <c r="C525" s="67"/>
      <c r="D525" s="67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</row>
    <row r="526">
      <c r="A526" s="155"/>
      <c r="B526" s="155"/>
      <c r="C526" s="67"/>
      <c r="D526" s="67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</row>
    <row r="527">
      <c r="A527" s="155"/>
      <c r="B527" s="155"/>
      <c r="C527" s="67"/>
      <c r="D527" s="67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</row>
    <row r="528">
      <c r="A528" s="155"/>
      <c r="B528" s="155"/>
      <c r="C528" s="67"/>
      <c r="D528" s="67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</row>
    <row r="529">
      <c r="A529" s="155"/>
      <c r="B529" s="155"/>
      <c r="C529" s="67"/>
      <c r="D529" s="67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</row>
    <row r="530">
      <c r="A530" s="155"/>
      <c r="B530" s="155"/>
      <c r="C530" s="67"/>
      <c r="D530" s="67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</row>
    <row r="531">
      <c r="A531" s="155"/>
      <c r="B531" s="155"/>
      <c r="C531" s="67"/>
      <c r="D531" s="67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</row>
    <row r="532">
      <c r="A532" s="155"/>
      <c r="B532" s="155"/>
      <c r="C532" s="67"/>
      <c r="D532" s="67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</row>
    <row r="533">
      <c r="A533" s="155"/>
      <c r="B533" s="155"/>
      <c r="C533" s="67"/>
      <c r="D533" s="67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</row>
    <row r="534">
      <c r="A534" s="155"/>
      <c r="B534" s="155"/>
      <c r="C534" s="67"/>
      <c r="D534" s="67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</row>
    <row r="535">
      <c r="A535" s="155"/>
      <c r="B535" s="155"/>
      <c r="C535" s="67"/>
      <c r="D535" s="67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</row>
    <row r="536">
      <c r="A536" s="155"/>
      <c r="B536" s="155"/>
      <c r="C536" s="67"/>
      <c r="D536" s="67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</row>
    <row r="537">
      <c r="A537" s="155"/>
      <c r="B537" s="155"/>
      <c r="C537" s="67"/>
      <c r="D537" s="67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</row>
    <row r="538">
      <c r="A538" s="155"/>
      <c r="B538" s="155"/>
      <c r="C538" s="67"/>
      <c r="D538" s="67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</row>
    <row r="539">
      <c r="A539" s="155"/>
      <c r="B539" s="155"/>
      <c r="C539" s="67"/>
      <c r="D539" s="67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</row>
    <row r="540">
      <c r="A540" s="155"/>
      <c r="B540" s="155"/>
      <c r="C540" s="67"/>
      <c r="D540" s="67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</row>
    <row r="541">
      <c r="A541" s="155"/>
      <c r="B541" s="155"/>
      <c r="C541" s="67"/>
      <c r="D541" s="67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</row>
    <row r="542">
      <c r="A542" s="155"/>
      <c r="B542" s="155"/>
      <c r="C542" s="67"/>
      <c r="D542" s="67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</row>
    <row r="543">
      <c r="A543" s="155"/>
      <c r="B543" s="155"/>
      <c r="C543" s="67"/>
      <c r="D543" s="67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</row>
    <row r="544">
      <c r="A544" s="155"/>
      <c r="B544" s="155"/>
      <c r="C544" s="67"/>
      <c r="D544" s="67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</row>
    <row r="545">
      <c r="A545" s="155"/>
      <c r="B545" s="155"/>
      <c r="C545" s="67"/>
      <c r="D545" s="67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</row>
    <row r="546">
      <c r="A546" s="155"/>
      <c r="B546" s="155"/>
      <c r="C546" s="67"/>
      <c r="D546" s="67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</row>
    <row r="547">
      <c r="A547" s="155"/>
      <c r="B547" s="155"/>
      <c r="C547" s="67"/>
      <c r="D547" s="67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</row>
    <row r="548">
      <c r="A548" s="155"/>
      <c r="B548" s="155"/>
      <c r="C548" s="67"/>
      <c r="D548" s="67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</row>
    <row r="549">
      <c r="A549" s="155"/>
      <c r="B549" s="155"/>
      <c r="C549" s="67"/>
      <c r="D549" s="67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</row>
    <row r="550">
      <c r="A550" s="155"/>
      <c r="B550" s="155"/>
      <c r="C550" s="67"/>
      <c r="D550" s="67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</row>
    <row r="551">
      <c r="A551" s="155"/>
      <c r="B551" s="155"/>
      <c r="C551" s="67"/>
      <c r="D551" s="67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</row>
    <row r="552">
      <c r="A552" s="155"/>
      <c r="B552" s="155"/>
      <c r="C552" s="67"/>
      <c r="D552" s="67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</row>
    <row r="553">
      <c r="A553" s="155"/>
      <c r="B553" s="155"/>
      <c r="C553" s="67"/>
      <c r="D553" s="67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</row>
    <row r="554">
      <c r="A554" s="155"/>
      <c r="B554" s="155"/>
      <c r="C554" s="67"/>
      <c r="D554" s="67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</row>
    <row r="555">
      <c r="A555" s="155"/>
      <c r="B555" s="155"/>
      <c r="C555" s="67"/>
      <c r="D555" s="67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</row>
    <row r="556">
      <c r="A556" s="155"/>
      <c r="B556" s="155"/>
      <c r="C556" s="67"/>
      <c r="D556" s="67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</row>
    <row r="557">
      <c r="A557" s="155"/>
      <c r="B557" s="155"/>
      <c r="C557" s="67"/>
      <c r="D557" s="67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</row>
    <row r="558">
      <c r="A558" s="155"/>
      <c r="B558" s="155"/>
      <c r="C558" s="67"/>
      <c r="D558" s="67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</row>
    <row r="559">
      <c r="A559" s="155"/>
      <c r="B559" s="155"/>
      <c r="C559" s="67"/>
      <c r="D559" s="67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</row>
    <row r="560">
      <c r="A560" s="155"/>
      <c r="B560" s="155"/>
      <c r="C560" s="67"/>
      <c r="D560" s="67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</row>
    <row r="561">
      <c r="A561" s="155"/>
      <c r="B561" s="155"/>
      <c r="C561" s="67"/>
      <c r="D561" s="67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</row>
    <row r="562">
      <c r="A562" s="155"/>
      <c r="B562" s="155"/>
      <c r="C562" s="67"/>
      <c r="D562" s="67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</row>
    <row r="563">
      <c r="A563" s="155"/>
      <c r="B563" s="155"/>
      <c r="C563" s="67"/>
      <c r="D563" s="67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</row>
    <row r="564">
      <c r="A564" s="155"/>
      <c r="B564" s="155"/>
      <c r="C564" s="67"/>
      <c r="D564" s="67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</row>
    <row r="565">
      <c r="A565" s="155"/>
      <c r="B565" s="155"/>
      <c r="C565" s="67"/>
      <c r="D565" s="67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</row>
    <row r="566">
      <c r="A566" s="155"/>
      <c r="B566" s="155"/>
      <c r="C566" s="67"/>
      <c r="D566" s="67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</row>
    <row r="567">
      <c r="A567" s="155"/>
      <c r="B567" s="155"/>
      <c r="C567" s="67"/>
      <c r="D567" s="67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</row>
    <row r="568">
      <c r="A568" s="155"/>
      <c r="B568" s="155"/>
      <c r="C568" s="67"/>
      <c r="D568" s="67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</row>
    <row r="569">
      <c r="A569" s="155"/>
      <c r="B569" s="155"/>
      <c r="C569" s="67"/>
      <c r="D569" s="67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</row>
    <row r="570">
      <c r="A570" s="155"/>
      <c r="B570" s="155"/>
      <c r="C570" s="67"/>
      <c r="D570" s="67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</row>
    <row r="571">
      <c r="A571" s="155"/>
      <c r="B571" s="155"/>
      <c r="C571" s="67"/>
      <c r="D571" s="67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</row>
    <row r="572">
      <c r="A572" s="155"/>
      <c r="B572" s="155"/>
      <c r="C572" s="67"/>
      <c r="D572" s="67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</row>
    <row r="573">
      <c r="A573" s="155"/>
      <c r="B573" s="155"/>
      <c r="C573" s="67"/>
      <c r="D573" s="67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</row>
    <row r="574">
      <c r="A574" s="155"/>
      <c r="B574" s="155"/>
      <c r="C574" s="67"/>
      <c r="D574" s="67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</row>
    <row r="575">
      <c r="A575" s="155"/>
      <c r="B575" s="155"/>
      <c r="C575" s="67"/>
      <c r="D575" s="67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</row>
    <row r="576">
      <c r="A576" s="155"/>
      <c r="B576" s="155"/>
      <c r="C576" s="67"/>
      <c r="D576" s="67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</row>
    <row r="577">
      <c r="A577" s="155"/>
      <c r="B577" s="155"/>
      <c r="C577" s="67"/>
      <c r="D577" s="67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</row>
    <row r="578">
      <c r="A578" s="155"/>
      <c r="B578" s="155"/>
      <c r="C578" s="67"/>
      <c r="D578" s="67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</row>
    <row r="579">
      <c r="A579" s="155"/>
      <c r="B579" s="155"/>
      <c r="C579" s="67"/>
      <c r="D579" s="67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</row>
    <row r="580">
      <c r="A580" s="155"/>
      <c r="B580" s="155"/>
      <c r="C580" s="67"/>
      <c r="D580" s="67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</row>
    <row r="581">
      <c r="A581" s="155"/>
      <c r="B581" s="155"/>
      <c r="C581" s="67"/>
      <c r="D581" s="67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</row>
    <row r="582">
      <c r="A582" s="155"/>
      <c r="B582" s="155"/>
      <c r="C582" s="67"/>
      <c r="D582" s="67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</row>
    <row r="583">
      <c r="A583" s="155"/>
      <c r="B583" s="155"/>
      <c r="C583" s="67"/>
      <c r="D583" s="67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</row>
    <row r="584">
      <c r="A584" s="155"/>
      <c r="B584" s="155"/>
      <c r="C584" s="67"/>
      <c r="D584" s="67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</row>
    <row r="585">
      <c r="A585" s="155"/>
      <c r="B585" s="155"/>
      <c r="C585" s="67"/>
      <c r="D585" s="67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</row>
    <row r="586">
      <c r="A586" s="155"/>
      <c r="B586" s="155"/>
      <c r="C586" s="67"/>
      <c r="D586" s="67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</row>
    <row r="587">
      <c r="A587" s="155"/>
      <c r="B587" s="155"/>
      <c r="C587" s="67"/>
      <c r="D587" s="67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</row>
    <row r="588">
      <c r="A588" s="155"/>
      <c r="B588" s="155"/>
      <c r="C588" s="67"/>
      <c r="D588" s="67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</row>
    <row r="589">
      <c r="A589" s="155"/>
      <c r="B589" s="155"/>
      <c r="C589" s="67"/>
      <c r="D589" s="67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</row>
    <row r="590">
      <c r="A590" s="155"/>
      <c r="B590" s="155"/>
      <c r="C590" s="67"/>
      <c r="D590" s="67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</row>
    <row r="591">
      <c r="A591" s="155"/>
      <c r="B591" s="155"/>
      <c r="C591" s="67"/>
      <c r="D591" s="67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</row>
    <row r="592">
      <c r="A592" s="155"/>
      <c r="B592" s="155"/>
      <c r="C592" s="67"/>
      <c r="D592" s="67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</row>
    <row r="593">
      <c r="A593" s="155"/>
      <c r="B593" s="155"/>
      <c r="C593" s="67"/>
      <c r="D593" s="67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</row>
    <row r="594">
      <c r="A594" s="155"/>
      <c r="B594" s="155"/>
      <c r="C594" s="67"/>
      <c r="D594" s="67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</row>
    <row r="595">
      <c r="A595" s="155"/>
      <c r="B595" s="155"/>
      <c r="C595" s="67"/>
      <c r="D595" s="67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</row>
    <row r="596">
      <c r="A596" s="155"/>
      <c r="B596" s="155"/>
      <c r="C596" s="67"/>
      <c r="D596" s="67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</row>
    <row r="597">
      <c r="A597" s="155"/>
      <c r="B597" s="155"/>
      <c r="C597" s="67"/>
      <c r="D597" s="67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</row>
    <row r="598">
      <c r="A598" s="155"/>
      <c r="B598" s="155"/>
      <c r="C598" s="67"/>
      <c r="D598" s="67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</row>
    <row r="599">
      <c r="A599" s="155"/>
      <c r="B599" s="155"/>
      <c r="C599" s="67"/>
      <c r="D599" s="67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</row>
    <row r="600">
      <c r="A600" s="155"/>
      <c r="B600" s="155"/>
      <c r="C600" s="67"/>
      <c r="D600" s="67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</row>
    <row r="601">
      <c r="A601" s="155"/>
      <c r="B601" s="155"/>
      <c r="C601" s="67"/>
      <c r="D601" s="67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</row>
    <row r="602">
      <c r="A602" s="155"/>
      <c r="B602" s="155"/>
      <c r="C602" s="67"/>
      <c r="D602" s="67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</row>
    <row r="603">
      <c r="A603" s="155"/>
      <c r="B603" s="155"/>
      <c r="C603" s="67"/>
      <c r="D603" s="67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</row>
    <row r="604">
      <c r="A604" s="155"/>
      <c r="B604" s="155"/>
      <c r="C604" s="67"/>
      <c r="D604" s="67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</row>
    <row r="605">
      <c r="A605" s="155"/>
      <c r="B605" s="155"/>
      <c r="C605" s="67"/>
      <c r="D605" s="67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</row>
    <row r="606">
      <c r="A606" s="155"/>
      <c r="B606" s="155"/>
      <c r="C606" s="67"/>
      <c r="D606" s="67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</row>
    <row r="607">
      <c r="A607" s="155"/>
      <c r="B607" s="155"/>
      <c r="C607" s="67"/>
      <c r="D607" s="67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</row>
    <row r="608">
      <c r="A608" s="155"/>
      <c r="B608" s="155"/>
      <c r="C608" s="67"/>
      <c r="D608" s="67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</row>
    <row r="609">
      <c r="A609" s="155"/>
      <c r="B609" s="155"/>
      <c r="C609" s="67"/>
      <c r="D609" s="67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</row>
    <row r="610">
      <c r="A610" s="155"/>
      <c r="B610" s="155"/>
      <c r="C610" s="67"/>
      <c r="D610" s="67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</row>
    <row r="611">
      <c r="A611" s="155"/>
      <c r="B611" s="155"/>
      <c r="C611" s="67"/>
      <c r="D611" s="67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</row>
    <row r="612">
      <c r="A612" s="155"/>
      <c r="B612" s="155"/>
      <c r="C612" s="67"/>
      <c r="D612" s="67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</row>
    <row r="613">
      <c r="A613" s="155"/>
      <c r="B613" s="155"/>
      <c r="C613" s="67"/>
      <c r="D613" s="67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</row>
    <row r="614">
      <c r="A614" s="155"/>
      <c r="B614" s="155"/>
      <c r="C614" s="67"/>
      <c r="D614" s="67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</row>
    <row r="615">
      <c r="A615" s="155"/>
      <c r="B615" s="155"/>
      <c r="C615" s="67"/>
      <c r="D615" s="67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</row>
    <row r="616">
      <c r="A616" s="155"/>
      <c r="B616" s="155"/>
      <c r="C616" s="67"/>
      <c r="D616" s="67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</row>
    <row r="617">
      <c r="A617" s="155"/>
      <c r="B617" s="155"/>
      <c r="C617" s="67"/>
      <c r="D617" s="67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</row>
    <row r="618">
      <c r="A618" s="155"/>
      <c r="B618" s="155"/>
      <c r="C618" s="67"/>
      <c r="D618" s="67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</row>
    <row r="619">
      <c r="A619" s="155"/>
      <c r="B619" s="155"/>
      <c r="C619" s="67"/>
      <c r="D619" s="67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</row>
    <row r="620">
      <c r="A620" s="155"/>
      <c r="B620" s="155"/>
      <c r="C620" s="67"/>
      <c r="D620" s="67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</row>
    <row r="621">
      <c r="A621" s="155"/>
      <c r="B621" s="155"/>
      <c r="C621" s="67"/>
      <c r="D621" s="67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</row>
    <row r="622">
      <c r="A622" s="155"/>
      <c r="B622" s="155"/>
      <c r="C622" s="67"/>
      <c r="D622" s="67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</row>
    <row r="623">
      <c r="A623" s="155"/>
      <c r="B623" s="155"/>
      <c r="C623" s="67"/>
      <c r="D623" s="67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</row>
    <row r="624">
      <c r="A624" s="155"/>
      <c r="B624" s="155"/>
      <c r="C624" s="67"/>
      <c r="D624" s="67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</row>
    <row r="625">
      <c r="A625" s="155"/>
      <c r="B625" s="155"/>
      <c r="C625" s="67"/>
      <c r="D625" s="67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</row>
    <row r="626">
      <c r="A626" s="155"/>
      <c r="B626" s="155"/>
      <c r="C626" s="67"/>
      <c r="D626" s="67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</row>
    <row r="627">
      <c r="A627" s="155"/>
      <c r="B627" s="155"/>
      <c r="C627" s="67"/>
      <c r="D627" s="67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</row>
    <row r="628">
      <c r="A628" s="155"/>
      <c r="B628" s="155"/>
      <c r="C628" s="67"/>
      <c r="D628" s="67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</row>
    <row r="629">
      <c r="A629" s="155"/>
      <c r="B629" s="155"/>
      <c r="C629" s="67"/>
      <c r="D629" s="67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</row>
    <row r="630">
      <c r="A630" s="155"/>
      <c r="B630" s="155"/>
      <c r="C630" s="67"/>
      <c r="D630" s="67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</row>
    <row r="631">
      <c r="A631" s="155"/>
      <c r="B631" s="155"/>
      <c r="C631" s="67"/>
      <c r="D631" s="67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</row>
    <row r="632">
      <c r="A632" s="155"/>
      <c r="B632" s="155"/>
      <c r="C632" s="67"/>
      <c r="D632" s="67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</row>
    <row r="633">
      <c r="A633" s="155"/>
      <c r="B633" s="155"/>
      <c r="C633" s="67"/>
      <c r="D633" s="67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</row>
    <row r="634">
      <c r="A634" s="155"/>
      <c r="B634" s="155"/>
      <c r="C634" s="67"/>
      <c r="D634" s="67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</row>
    <row r="635">
      <c r="A635" s="155"/>
      <c r="B635" s="155"/>
      <c r="C635" s="67"/>
      <c r="D635" s="67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</row>
    <row r="636">
      <c r="A636" s="155"/>
      <c r="B636" s="155"/>
      <c r="C636" s="67"/>
      <c r="D636" s="67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</row>
    <row r="637">
      <c r="A637" s="155"/>
      <c r="B637" s="155"/>
      <c r="C637" s="67"/>
      <c r="D637" s="67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</row>
    <row r="638">
      <c r="A638" s="155"/>
      <c r="B638" s="155"/>
      <c r="C638" s="67"/>
      <c r="D638" s="67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</row>
    <row r="639">
      <c r="A639" s="155"/>
      <c r="B639" s="155"/>
      <c r="C639" s="67"/>
      <c r="D639" s="67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</row>
    <row r="640">
      <c r="A640" s="155"/>
      <c r="B640" s="155"/>
      <c r="C640" s="67"/>
      <c r="D640" s="67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</row>
    <row r="641">
      <c r="A641" s="155"/>
      <c r="B641" s="155"/>
      <c r="C641" s="67"/>
      <c r="D641" s="67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</row>
    <row r="642">
      <c r="A642" s="155"/>
      <c r="B642" s="155"/>
      <c r="C642" s="67"/>
      <c r="D642" s="67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</row>
    <row r="643">
      <c r="A643" s="155"/>
      <c r="B643" s="155"/>
      <c r="C643" s="67"/>
      <c r="D643" s="67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</row>
    <row r="644">
      <c r="A644" s="155"/>
      <c r="B644" s="155"/>
      <c r="C644" s="67"/>
      <c r="D644" s="67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</row>
    <row r="645">
      <c r="A645" s="155"/>
      <c r="B645" s="155"/>
      <c r="C645" s="67"/>
      <c r="D645" s="67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</row>
    <row r="646">
      <c r="A646" s="155"/>
      <c r="B646" s="155"/>
      <c r="C646" s="67"/>
      <c r="D646" s="67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</row>
    <row r="647">
      <c r="A647" s="155"/>
      <c r="B647" s="155"/>
      <c r="C647" s="67"/>
      <c r="D647" s="67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</row>
    <row r="648">
      <c r="A648" s="155"/>
      <c r="B648" s="155"/>
      <c r="C648" s="67"/>
      <c r="D648" s="67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</row>
    <row r="649">
      <c r="A649" s="155"/>
      <c r="B649" s="155"/>
      <c r="C649" s="67"/>
      <c r="D649" s="67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</row>
    <row r="650">
      <c r="A650" s="155"/>
      <c r="B650" s="155"/>
      <c r="C650" s="67"/>
      <c r="D650" s="67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</row>
    <row r="651">
      <c r="A651" s="155"/>
      <c r="B651" s="155"/>
      <c r="C651" s="67"/>
      <c r="D651" s="67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</row>
    <row r="652">
      <c r="A652" s="155"/>
      <c r="B652" s="155"/>
      <c r="C652" s="67"/>
      <c r="D652" s="67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</row>
    <row r="653">
      <c r="A653" s="155"/>
      <c r="B653" s="155"/>
      <c r="C653" s="67"/>
      <c r="D653" s="67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</row>
    <row r="654">
      <c r="A654" s="155"/>
      <c r="B654" s="155"/>
      <c r="C654" s="67"/>
      <c r="D654" s="67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</row>
    <row r="655">
      <c r="A655" s="155"/>
      <c r="B655" s="155"/>
      <c r="C655" s="67"/>
      <c r="D655" s="67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</row>
    <row r="656">
      <c r="A656" s="155"/>
      <c r="B656" s="155"/>
      <c r="C656" s="67"/>
      <c r="D656" s="67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</row>
    <row r="657">
      <c r="A657" s="155"/>
      <c r="B657" s="155"/>
      <c r="C657" s="67"/>
      <c r="D657" s="67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</row>
    <row r="658">
      <c r="A658" s="155"/>
      <c r="B658" s="155"/>
      <c r="C658" s="67"/>
      <c r="D658" s="67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</row>
    <row r="659">
      <c r="A659" s="155"/>
      <c r="B659" s="155"/>
      <c r="C659" s="67"/>
      <c r="D659" s="67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</row>
    <row r="660">
      <c r="A660" s="155"/>
      <c r="B660" s="155"/>
      <c r="C660" s="67"/>
      <c r="D660" s="67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</row>
    <row r="661">
      <c r="A661" s="155"/>
      <c r="B661" s="155"/>
      <c r="C661" s="67"/>
      <c r="D661" s="67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</row>
    <row r="662">
      <c r="A662" s="155"/>
      <c r="B662" s="155"/>
      <c r="C662" s="67"/>
      <c r="D662" s="67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</row>
    <row r="663">
      <c r="A663" s="155"/>
      <c r="B663" s="155"/>
      <c r="C663" s="67"/>
      <c r="D663" s="67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</row>
    <row r="664">
      <c r="A664" s="155"/>
      <c r="B664" s="155"/>
      <c r="C664" s="67"/>
      <c r="D664" s="67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</row>
    <row r="665">
      <c r="A665" s="155"/>
      <c r="B665" s="155"/>
      <c r="C665" s="67"/>
      <c r="D665" s="67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</row>
    <row r="666">
      <c r="A666" s="155"/>
      <c r="B666" s="155"/>
      <c r="C666" s="67"/>
      <c r="D666" s="67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</row>
    <row r="667">
      <c r="A667" s="155"/>
      <c r="B667" s="155"/>
      <c r="C667" s="67"/>
      <c r="D667" s="67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</row>
    <row r="668">
      <c r="A668" s="155"/>
      <c r="B668" s="155"/>
      <c r="C668" s="67"/>
      <c r="D668" s="67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</row>
    <row r="669">
      <c r="A669" s="155"/>
      <c r="B669" s="155"/>
      <c r="C669" s="67"/>
      <c r="D669" s="67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</row>
    <row r="670">
      <c r="A670" s="155"/>
      <c r="B670" s="155"/>
      <c r="C670" s="67"/>
      <c r="D670" s="67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</row>
    <row r="671">
      <c r="A671" s="155"/>
      <c r="B671" s="155"/>
      <c r="C671" s="67"/>
      <c r="D671" s="67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</row>
    <row r="672">
      <c r="A672" s="155"/>
      <c r="B672" s="155"/>
      <c r="C672" s="67"/>
      <c r="D672" s="67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</row>
    <row r="673">
      <c r="A673" s="155"/>
      <c r="B673" s="155"/>
      <c r="C673" s="67"/>
      <c r="D673" s="67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</row>
    <row r="674">
      <c r="A674" s="155"/>
      <c r="B674" s="155"/>
      <c r="C674" s="67"/>
      <c r="D674" s="67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</row>
    <row r="675">
      <c r="A675" s="155"/>
      <c r="B675" s="155"/>
      <c r="C675" s="67"/>
      <c r="D675" s="67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</row>
    <row r="676">
      <c r="A676" s="155"/>
      <c r="B676" s="155"/>
      <c r="C676" s="67"/>
      <c r="D676" s="67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</row>
    <row r="677">
      <c r="A677" s="155"/>
      <c r="B677" s="155"/>
      <c r="C677" s="67"/>
      <c r="D677" s="67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</row>
    <row r="678">
      <c r="A678" s="155"/>
      <c r="B678" s="155"/>
      <c r="C678" s="67"/>
      <c r="D678" s="67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</row>
    <row r="679">
      <c r="A679" s="155"/>
      <c r="B679" s="155"/>
      <c r="C679" s="67"/>
      <c r="D679" s="67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</row>
    <row r="680">
      <c r="A680" s="155"/>
      <c r="B680" s="155"/>
      <c r="C680" s="67"/>
      <c r="D680" s="67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</row>
    <row r="681">
      <c r="A681" s="155"/>
      <c r="B681" s="155"/>
      <c r="C681" s="67"/>
      <c r="D681" s="67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</row>
    <row r="682">
      <c r="A682" s="155"/>
      <c r="B682" s="155"/>
      <c r="C682" s="67"/>
      <c r="D682" s="67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</row>
    <row r="683">
      <c r="A683" s="155"/>
      <c r="B683" s="155"/>
      <c r="C683" s="67"/>
      <c r="D683" s="67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</row>
    <row r="684">
      <c r="A684" s="155"/>
      <c r="B684" s="155"/>
      <c r="C684" s="67"/>
      <c r="D684" s="67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</row>
    <row r="685">
      <c r="A685" s="155"/>
      <c r="B685" s="155"/>
      <c r="C685" s="67"/>
      <c r="D685" s="67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</row>
    <row r="686">
      <c r="A686" s="155"/>
      <c r="B686" s="155"/>
      <c r="C686" s="67"/>
      <c r="D686" s="67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</row>
    <row r="687">
      <c r="A687" s="155"/>
      <c r="B687" s="155"/>
      <c r="C687" s="67"/>
      <c r="D687" s="67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</row>
    <row r="688">
      <c r="A688" s="155"/>
      <c r="B688" s="155"/>
      <c r="C688" s="67"/>
      <c r="D688" s="67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</row>
    <row r="689">
      <c r="A689" s="155"/>
      <c r="B689" s="155"/>
      <c r="C689" s="67"/>
      <c r="D689" s="67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</row>
    <row r="690">
      <c r="A690" s="155"/>
      <c r="B690" s="155"/>
      <c r="C690" s="67"/>
      <c r="D690" s="67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</row>
    <row r="691">
      <c r="A691" s="155"/>
      <c r="B691" s="155"/>
      <c r="C691" s="67"/>
      <c r="D691" s="67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</row>
    <row r="692">
      <c r="A692" s="155"/>
      <c r="B692" s="155"/>
      <c r="C692" s="67"/>
      <c r="D692" s="67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</row>
    <row r="693">
      <c r="A693" s="155"/>
      <c r="B693" s="155"/>
      <c r="C693" s="67"/>
      <c r="D693" s="67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</row>
    <row r="694">
      <c r="A694" s="155"/>
      <c r="B694" s="155"/>
      <c r="C694" s="67"/>
      <c r="D694" s="67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</row>
    <row r="695">
      <c r="A695" s="155"/>
      <c r="B695" s="155"/>
      <c r="C695" s="67"/>
      <c r="D695" s="67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</row>
    <row r="696">
      <c r="A696" s="155"/>
      <c r="B696" s="155"/>
      <c r="C696" s="67"/>
      <c r="D696" s="67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</row>
    <row r="697">
      <c r="A697" s="155"/>
      <c r="B697" s="155"/>
      <c r="C697" s="67"/>
      <c r="D697" s="67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</row>
    <row r="698">
      <c r="A698" s="155"/>
      <c r="B698" s="155"/>
      <c r="C698" s="67"/>
      <c r="D698" s="67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</row>
    <row r="699">
      <c r="A699" s="155"/>
      <c r="B699" s="155"/>
      <c r="C699" s="67"/>
      <c r="D699" s="67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</row>
    <row r="700">
      <c r="A700" s="155"/>
      <c r="B700" s="155"/>
      <c r="C700" s="67"/>
      <c r="D700" s="67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</row>
    <row r="701">
      <c r="A701" s="155"/>
      <c r="B701" s="155"/>
      <c r="C701" s="67"/>
      <c r="D701" s="67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</row>
    <row r="702">
      <c r="A702" s="155"/>
      <c r="B702" s="155"/>
      <c r="C702" s="67"/>
      <c r="D702" s="67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</row>
    <row r="703">
      <c r="A703" s="155"/>
      <c r="B703" s="155"/>
      <c r="C703" s="67"/>
      <c r="D703" s="67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</row>
    <row r="704">
      <c r="A704" s="155"/>
      <c r="B704" s="155"/>
      <c r="C704" s="67"/>
      <c r="D704" s="67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</row>
    <row r="705">
      <c r="A705" s="155"/>
      <c r="B705" s="155"/>
      <c r="C705" s="67"/>
      <c r="D705" s="67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</row>
    <row r="706">
      <c r="A706" s="155"/>
      <c r="B706" s="155"/>
      <c r="C706" s="67"/>
      <c r="D706" s="67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</row>
    <row r="707">
      <c r="A707" s="155"/>
      <c r="B707" s="155"/>
      <c r="C707" s="67"/>
      <c r="D707" s="67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</row>
    <row r="708">
      <c r="A708" s="155"/>
      <c r="B708" s="155"/>
      <c r="C708" s="67"/>
      <c r="D708" s="67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</row>
    <row r="709">
      <c r="A709" s="155"/>
      <c r="B709" s="155"/>
      <c r="C709" s="67"/>
      <c r="D709" s="67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</row>
    <row r="710">
      <c r="A710" s="155"/>
      <c r="B710" s="155"/>
      <c r="C710" s="67"/>
      <c r="D710" s="67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</row>
    <row r="711">
      <c r="A711" s="155"/>
      <c r="B711" s="155"/>
      <c r="C711" s="67"/>
      <c r="D711" s="67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</row>
    <row r="712">
      <c r="A712" s="155"/>
      <c r="B712" s="155"/>
      <c r="C712" s="67"/>
      <c r="D712" s="67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</row>
    <row r="713">
      <c r="A713" s="155"/>
      <c r="B713" s="155"/>
      <c r="C713" s="67"/>
      <c r="D713" s="67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</row>
    <row r="714">
      <c r="A714" s="155"/>
      <c r="B714" s="155"/>
      <c r="C714" s="67"/>
      <c r="D714" s="67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</row>
    <row r="715">
      <c r="A715" s="155"/>
      <c r="B715" s="155"/>
      <c r="C715" s="67"/>
      <c r="D715" s="67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</row>
    <row r="716">
      <c r="A716" s="155"/>
      <c r="B716" s="155"/>
      <c r="C716" s="67"/>
      <c r="D716" s="67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</row>
    <row r="717">
      <c r="A717" s="155"/>
      <c r="B717" s="155"/>
      <c r="C717" s="67"/>
      <c r="D717" s="67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</row>
    <row r="718">
      <c r="A718" s="155"/>
      <c r="B718" s="155"/>
      <c r="C718" s="67"/>
      <c r="D718" s="67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</row>
    <row r="719">
      <c r="A719" s="155"/>
      <c r="B719" s="155"/>
      <c r="C719" s="67"/>
      <c r="D719" s="67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</row>
    <row r="720">
      <c r="A720" s="155"/>
      <c r="B720" s="155"/>
      <c r="C720" s="67"/>
      <c r="D720" s="67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</row>
    <row r="721">
      <c r="A721" s="155"/>
      <c r="B721" s="155"/>
      <c r="C721" s="67"/>
      <c r="D721" s="67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</row>
    <row r="722">
      <c r="A722" s="155"/>
      <c r="B722" s="155"/>
      <c r="C722" s="67"/>
      <c r="D722" s="67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</row>
    <row r="723">
      <c r="A723" s="155"/>
      <c r="B723" s="155"/>
      <c r="C723" s="67"/>
      <c r="D723" s="67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</row>
    <row r="724">
      <c r="A724" s="155"/>
      <c r="B724" s="155"/>
      <c r="C724" s="67"/>
      <c r="D724" s="67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</row>
    <row r="725">
      <c r="A725" s="155"/>
      <c r="B725" s="155"/>
      <c r="C725" s="67"/>
      <c r="D725" s="67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</row>
    <row r="726">
      <c r="A726" s="155"/>
      <c r="B726" s="155"/>
      <c r="C726" s="67"/>
      <c r="D726" s="67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</row>
    <row r="727">
      <c r="A727" s="155"/>
      <c r="B727" s="155"/>
      <c r="C727" s="67"/>
      <c r="D727" s="67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</row>
    <row r="728">
      <c r="A728" s="155"/>
      <c r="B728" s="155"/>
      <c r="C728" s="67"/>
      <c r="D728" s="67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</row>
    <row r="729">
      <c r="A729" s="155"/>
      <c r="B729" s="155"/>
      <c r="C729" s="67"/>
      <c r="D729" s="67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</row>
    <row r="730">
      <c r="A730" s="155"/>
      <c r="B730" s="155"/>
      <c r="C730" s="67"/>
      <c r="D730" s="67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</row>
    <row r="731">
      <c r="A731" s="155"/>
      <c r="B731" s="155"/>
      <c r="C731" s="67"/>
      <c r="D731" s="67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</row>
    <row r="732">
      <c r="A732" s="155"/>
      <c r="B732" s="155"/>
      <c r="C732" s="67"/>
      <c r="D732" s="67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</row>
    <row r="733">
      <c r="A733" s="155"/>
      <c r="B733" s="155"/>
      <c r="C733" s="67"/>
      <c r="D733" s="67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</row>
    <row r="734">
      <c r="A734" s="155"/>
      <c r="B734" s="155"/>
      <c r="C734" s="67"/>
      <c r="D734" s="67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</row>
    <row r="735">
      <c r="A735" s="155"/>
      <c r="B735" s="155"/>
      <c r="C735" s="67"/>
      <c r="D735" s="67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</row>
    <row r="736">
      <c r="A736" s="155"/>
      <c r="B736" s="155"/>
      <c r="C736" s="67"/>
      <c r="D736" s="67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</row>
    <row r="737">
      <c r="A737" s="155"/>
      <c r="B737" s="155"/>
      <c r="C737" s="67"/>
      <c r="D737" s="67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</row>
    <row r="738">
      <c r="A738" s="155"/>
      <c r="B738" s="155"/>
      <c r="C738" s="67"/>
      <c r="D738" s="67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</row>
    <row r="739">
      <c r="A739" s="155"/>
      <c r="B739" s="155"/>
      <c r="C739" s="67"/>
      <c r="D739" s="67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</row>
    <row r="740">
      <c r="A740" s="155"/>
      <c r="B740" s="155"/>
      <c r="C740" s="67"/>
      <c r="D740" s="67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</row>
    <row r="741">
      <c r="A741" s="155"/>
      <c r="B741" s="155"/>
      <c r="C741" s="67"/>
      <c r="D741" s="67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</row>
    <row r="742">
      <c r="A742" s="155"/>
      <c r="B742" s="155"/>
      <c r="C742" s="67"/>
      <c r="D742" s="67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</row>
    <row r="743">
      <c r="A743" s="155"/>
      <c r="B743" s="155"/>
      <c r="C743" s="67"/>
      <c r="D743" s="67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</row>
    <row r="744">
      <c r="A744" s="155"/>
      <c r="B744" s="155"/>
      <c r="C744" s="67"/>
      <c r="D744" s="67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</row>
    <row r="745">
      <c r="A745" s="155"/>
      <c r="B745" s="155"/>
      <c r="C745" s="67"/>
      <c r="D745" s="67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</row>
    <row r="746">
      <c r="A746" s="155"/>
      <c r="B746" s="155"/>
      <c r="C746" s="67"/>
      <c r="D746" s="67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</row>
    <row r="747">
      <c r="A747" s="155"/>
      <c r="B747" s="155"/>
      <c r="C747" s="67"/>
      <c r="D747" s="67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</row>
    <row r="748">
      <c r="A748" s="155"/>
      <c r="B748" s="155"/>
      <c r="C748" s="67"/>
      <c r="D748" s="67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</row>
    <row r="749">
      <c r="A749" s="155"/>
      <c r="B749" s="155"/>
      <c r="C749" s="67"/>
      <c r="D749" s="67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</row>
    <row r="750">
      <c r="A750" s="155"/>
      <c r="B750" s="155"/>
      <c r="C750" s="67"/>
      <c r="D750" s="67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</row>
    <row r="751">
      <c r="A751" s="155"/>
      <c r="B751" s="155"/>
      <c r="C751" s="67"/>
      <c r="D751" s="67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</row>
    <row r="752">
      <c r="A752" s="155"/>
      <c r="B752" s="155"/>
      <c r="C752" s="67"/>
      <c r="D752" s="67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</row>
    <row r="753">
      <c r="A753" s="155"/>
      <c r="B753" s="155"/>
      <c r="C753" s="67"/>
      <c r="D753" s="67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</row>
    <row r="754">
      <c r="A754" s="155"/>
      <c r="B754" s="155"/>
      <c r="C754" s="67"/>
      <c r="D754" s="67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</row>
    <row r="755">
      <c r="A755" s="155"/>
      <c r="B755" s="155"/>
      <c r="C755" s="67"/>
      <c r="D755" s="67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</row>
    <row r="756">
      <c r="A756" s="155"/>
      <c r="B756" s="155"/>
      <c r="C756" s="67"/>
      <c r="D756" s="67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</row>
    <row r="757">
      <c r="A757" s="155"/>
      <c r="B757" s="155"/>
      <c r="C757" s="67"/>
      <c r="D757" s="67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</row>
    <row r="758">
      <c r="A758" s="155"/>
      <c r="B758" s="155"/>
      <c r="C758" s="67"/>
      <c r="D758" s="67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</row>
    <row r="759">
      <c r="A759" s="155"/>
      <c r="B759" s="155"/>
      <c r="C759" s="67"/>
      <c r="D759" s="67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</row>
    <row r="760">
      <c r="A760" s="155"/>
      <c r="B760" s="155"/>
      <c r="C760" s="67"/>
      <c r="D760" s="67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</row>
    <row r="761">
      <c r="A761" s="155"/>
      <c r="B761" s="155"/>
      <c r="C761" s="67"/>
      <c r="D761" s="67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</row>
    <row r="762">
      <c r="A762" s="155"/>
      <c r="B762" s="155"/>
      <c r="C762" s="67"/>
      <c r="D762" s="67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</row>
    <row r="763">
      <c r="A763" s="155"/>
      <c r="B763" s="155"/>
      <c r="C763" s="67"/>
      <c r="D763" s="67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</row>
    <row r="764">
      <c r="A764" s="155"/>
      <c r="B764" s="155"/>
      <c r="C764" s="67"/>
      <c r="D764" s="67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</row>
    <row r="765">
      <c r="A765" s="155"/>
      <c r="B765" s="155"/>
      <c r="C765" s="67"/>
      <c r="D765" s="67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</row>
    <row r="766">
      <c r="A766" s="155"/>
      <c r="B766" s="155"/>
      <c r="C766" s="67"/>
      <c r="D766" s="67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</row>
    <row r="767">
      <c r="A767" s="155"/>
      <c r="B767" s="155"/>
      <c r="C767" s="67"/>
      <c r="D767" s="67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</row>
    <row r="768">
      <c r="A768" s="155"/>
      <c r="B768" s="155"/>
      <c r="C768" s="67"/>
      <c r="D768" s="67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</row>
    <row r="769">
      <c r="A769" s="155"/>
      <c r="B769" s="155"/>
      <c r="C769" s="67"/>
      <c r="D769" s="67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</row>
    <row r="770">
      <c r="A770" s="155"/>
      <c r="B770" s="155"/>
      <c r="C770" s="67"/>
      <c r="D770" s="67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</row>
    <row r="771">
      <c r="A771" s="155"/>
      <c r="B771" s="155"/>
      <c r="C771" s="67"/>
      <c r="D771" s="67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</row>
    <row r="772">
      <c r="A772" s="155"/>
      <c r="B772" s="155"/>
      <c r="C772" s="67"/>
      <c r="D772" s="67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</row>
    <row r="773">
      <c r="A773" s="155"/>
      <c r="B773" s="155"/>
      <c r="C773" s="67"/>
      <c r="D773" s="67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</row>
    <row r="774">
      <c r="A774" s="155"/>
      <c r="B774" s="155"/>
      <c r="C774" s="67"/>
      <c r="D774" s="67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</row>
    <row r="775">
      <c r="A775" s="155"/>
      <c r="B775" s="155"/>
      <c r="C775" s="67"/>
      <c r="D775" s="67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</row>
    <row r="776">
      <c r="A776" s="155"/>
      <c r="B776" s="155"/>
      <c r="C776" s="67"/>
      <c r="D776" s="67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</row>
    <row r="777">
      <c r="A777" s="155"/>
      <c r="B777" s="155"/>
      <c r="C777" s="67"/>
      <c r="D777" s="67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</row>
    <row r="778">
      <c r="A778" s="155"/>
      <c r="B778" s="155"/>
      <c r="C778" s="67"/>
      <c r="D778" s="67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</row>
    <row r="779">
      <c r="A779" s="155"/>
      <c r="B779" s="155"/>
      <c r="C779" s="67"/>
      <c r="D779" s="67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</row>
    <row r="780">
      <c r="A780" s="155"/>
      <c r="B780" s="155"/>
      <c r="C780" s="67"/>
      <c r="D780" s="67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</row>
    <row r="781">
      <c r="A781" s="155"/>
      <c r="B781" s="155"/>
      <c r="C781" s="67"/>
      <c r="D781" s="67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</row>
    <row r="782">
      <c r="A782" s="155"/>
      <c r="B782" s="155"/>
      <c r="C782" s="67"/>
      <c r="D782" s="67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</row>
    <row r="783">
      <c r="A783" s="155"/>
      <c r="B783" s="155"/>
      <c r="C783" s="67"/>
      <c r="D783" s="67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</row>
    <row r="784">
      <c r="A784" s="155"/>
      <c r="B784" s="155"/>
      <c r="C784" s="67"/>
      <c r="D784" s="67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</row>
    <row r="785">
      <c r="A785" s="155"/>
      <c r="B785" s="155"/>
      <c r="C785" s="67"/>
      <c r="D785" s="67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</row>
    <row r="786">
      <c r="A786" s="155"/>
      <c r="B786" s="155"/>
      <c r="C786" s="67"/>
      <c r="D786" s="67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</row>
    <row r="787">
      <c r="A787" s="155"/>
      <c r="B787" s="155"/>
      <c r="C787" s="67"/>
      <c r="D787" s="67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</row>
    <row r="788">
      <c r="A788" s="155"/>
      <c r="B788" s="155"/>
      <c r="C788" s="67"/>
      <c r="D788" s="67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</row>
    <row r="789">
      <c r="A789" s="155"/>
      <c r="B789" s="155"/>
      <c r="C789" s="67"/>
      <c r="D789" s="67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</row>
    <row r="790">
      <c r="A790" s="155"/>
      <c r="B790" s="155"/>
      <c r="C790" s="67"/>
      <c r="D790" s="67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</row>
    <row r="791">
      <c r="A791" s="155"/>
      <c r="B791" s="155"/>
      <c r="C791" s="67"/>
      <c r="D791" s="67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</row>
    <row r="792">
      <c r="A792" s="155"/>
      <c r="B792" s="155"/>
      <c r="C792" s="67"/>
      <c r="D792" s="67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</row>
    <row r="793">
      <c r="A793" s="155"/>
      <c r="B793" s="155"/>
      <c r="C793" s="67"/>
      <c r="D793" s="67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</row>
    <row r="794">
      <c r="A794" s="155"/>
      <c r="B794" s="155"/>
      <c r="C794" s="67"/>
      <c r="D794" s="67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</row>
    <row r="795">
      <c r="A795" s="155"/>
      <c r="B795" s="155"/>
      <c r="C795" s="67"/>
      <c r="D795" s="67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</row>
    <row r="796">
      <c r="A796" s="155"/>
      <c r="B796" s="155"/>
      <c r="C796" s="67"/>
      <c r="D796" s="67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</row>
    <row r="797">
      <c r="A797" s="155"/>
      <c r="B797" s="155"/>
      <c r="C797" s="67"/>
      <c r="D797" s="67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</row>
    <row r="798">
      <c r="A798" s="155"/>
      <c r="B798" s="155"/>
      <c r="C798" s="67"/>
      <c r="D798" s="67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</row>
    <row r="799">
      <c r="A799" s="155"/>
      <c r="B799" s="155"/>
      <c r="C799" s="67"/>
      <c r="D799" s="67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</row>
    <row r="800">
      <c r="A800" s="155"/>
      <c r="B800" s="155"/>
      <c r="C800" s="67"/>
      <c r="D800" s="67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</row>
    <row r="801">
      <c r="A801" s="155"/>
      <c r="B801" s="155"/>
      <c r="C801" s="67"/>
      <c r="D801" s="67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</row>
    <row r="802">
      <c r="A802" s="155"/>
      <c r="B802" s="155"/>
      <c r="C802" s="67"/>
      <c r="D802" s="67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</row>
    <row r="803">
      <c r="A803" s="155"/>
      <c r="B803" s="155"/>
      <c r="C803" s="67"/>
      <c r="D803" s="67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</row>
    <row r="804">
      <c r="A804" s="155"/>
      <c r="B804" s="155"/>
      <c r="C804" s="67"/>
      <c r="D804" s="67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</row>
    <row r="805">
      <c r="A805" s="155"/>
      <c r="B805" s="155"/>
      <c r="C805" s="67"/>
      <c r="D805" s="67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</row>
    <row r="806">
      <c r="A806" s="155"/>
      <c r="B806" s="155"/>
      <c r="C806" s="67"/>
      <c r="D806" s="67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</row>
    <row r="807">
      <c r="A807" s="155"/>
      <c r="B807" s="155"/>
      <c r="C807" s="67"/>
      <c r="D807" s="67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</row>
    <row r="808">
      <c r="A808" s="155"/>
      <c r="B808" s="155"/>
      <c r="C808" s="67"/>
      <c r="D808" s="67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</row>
    <row r="809">
      <c r="A809" s="155"/>
      <c r="B809" s="155"/>
      <c r="C809" s="67"/>
      <c r="D809" s="67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</row>
    <row r="810">
      <c r="A810" s="155"/>
      <c r="B810" s="155"/>
      <c r="C810" s="67"/>
      <c r="D810" s="67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</row>
    <row r="811">
      <c r="A811" s="155"/>
      <c r="B811" s="155"/>
      <c r="C811" s="67"/>
      <c r="D811" s="67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</row>
    <row r="812">
      <c r="A812" s="155"/>
      <c r="B812" s="155"/>
      <c r="C812" s="67"/>
      <c r="D812" s="67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</row>
    <row r="813">
      <c r="A813" s="155"/>
      <c r="B813" s="155"/>
      <c r="C813" s="67"/>
      <c r="D813" s="67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</row>
    <row r="814">
      <c r="A814" s="155"/>
      <c r="B814" s="155"/>
      <c r="C814" s="67"/>
      <c r="D814" s="67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</row>
    <row r="815">
      <c r="A815" s="155"/>
      <c r="B815" s="155"/>
      <c r="C815" s="67"/>
      <c r="D815" s="67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</row>
    <row r="816">
      <c r="A816" s="155"/>
      <c r="B816" s="155"/>
      <c r="C816" s="67"/>
      <c r="D816" s="67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</row>
    <row r="817">
      <c r="A817" s="155"/>
      <c r="B817" s="155"/>
      <c r="C817" s="67"/>
      <c r="D817" s="67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</row>
    <row r="818">
      <c r="A818" s="155"/>
      <c r="B818" s="155"/>
      <c r="C818" s="67"/>
      <c r="D818" s="67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</row>
    <row r="819">
      <c r="A819" s="155"/>
      <c r="B819" s="155"/>
      <c r="C819" s="67"/>
      <c r="D819" s="67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</row>
    <row r="820">
      <c r="A820" s="155"/>
      <c r="B820" s="155"/>
      <c r="C820" s="67"/>
      <c r="D820" s="67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</row>
    <row r="821">
      <c r="A821" s="155"/>
      <c r="B821" s="155"/>
      <c r="C821" s="67"/>
      <c r="D821" s="67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</row>
    <row r="822">
      <c r="A822" s="155"/>
      <c r="B822" s="155"/>
      <c r="C822" s="67"/>
      <c r="D822" s="67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</row>
    <row r="823">
      <c r="A823" s="155"/>
      <c r="B823" s="155"/>
      <c r="C823" s="67"/>
      <c r="D823" s="67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</row>
    <row r="824">
      <c r="A824" s="155"/>
      <c r="B824" s="155"/>
      <c r="C824" s="67"/>
      <c r="D824" s="67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</row>
    <row r="825">
      <c r="A825" s="155"/>
      <c r="B825" s="155"/>
      <c r="C825" s="67"/>
      <c r="D825" s="67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</row>
    <row r="826">
      <c r="A826" s="155"/>
      <c r="B826" s="155"/>
      <c r="C826" s="67"/>
      <c r="D826" s="67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</row>
    <row r="827">
      <c r="A827" s="155"/>
      <c r="B827" s="155"/>
      <c r="C827" s="67"/>
      <c r="D827" s="67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</row>
    <row r="828">
      <c r="A828" s="155"/>
      <c r="B828" s="155"/>
      <c r="C828" s="67"/>
      <c r="D828" s="67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</row>
    <row r="829">
      <c r="A829" s="155"/>
      <c r="B829" s="155"/>
      <c r="C829" s="67"/>
      <c r="D829" s="67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</row>
    <row r="830">
      <c r="A830" s="155"/>
      <c r="B830" s="155"/>
      <c r="C830" s="67"/>
      <c r="D830" s="67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</row>
    <row r="831">
      <c r="A831" s="155"/>
      <c r="B831" s="155"/>
      <c r="C831" s="67"/>
      <c r="D831" s="67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</row>
    <row r="832">
      <c r="A832" s="155"/>
      <c r="B832" s="155"/>
      <c r="C832" s="67"/>
      <c r="D832" s="67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</row>
    <row r="833">
      <c r="A833" s="155"/>
      <c r="B833" s="155"/>
      <c r="C833" s="67"/>
      <c r="D833" s="67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</row>
    <row r="834">
      <c r="A834" s="155"/>
      <c r="B834" s="155"/>
      <c r="C834" s="67"/>
      <c r="D834" s="67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</row>
    <row r="835">
      <c r="A835" s="155"/>
      <c r="B835" s="155"/>
      <c r="C835" s="67"/>
      <c r="D835" s="67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</row>
    <row r="836">
      <c r="A836" s="155"/>
      <c r="B836" s="155"/>
      <c r="C836" s="67"/>
      <c r="D836" s="67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</row>
    <row r="837">
      <c r="A837" s="155"/>
      <c r="B837" s="155"/>
      <c r="C837" s="67"/>
      <c r="D837" s="67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</row>
    <row r="838">
      <c r="A838" s="155"/>
      <c r="B838" s="155"/>
      <c r="C838" s="67"/>
      <c r="D838" s="67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</row>
    <row r="839">
      <c r="A839" s="155"/>
      <c r="B839" s="155"/>
      <c r="C839" s="67"/>
      <c r="D839" s="67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</row>
    <row r="840">
      <c r="A840" s="155"/>
      <c r="B840" s="155"/>
      <c r="C840" s="67"/>
      <c r="D840" s="67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</row>
    <row r="841">
      <c r="A841" s="155"/>
      <c r="B841" s="155"/>
      <c r="C841" s="67"/>
      <c r="D841" s="67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</row>
    <row r="842">
      <c r="A842" s="155"/>
      <c r="B842" s="155"/>
      <c r="C842" s="67"/>
      <c r="D842" s="67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</row>
    <row r="843">
      <c r="A843" s="155"/>
      <c r="B843" s="155"/>
      <c r="C843" s="67"/>
      <c r="D843" s="67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</row>
    <row r="844">
      <c r="A844" s="155"/>
      <c r="B844" s="155"/>
      <c r="C844" s="67"/>
      <c r="D844" s="67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</row>
    <row r="845">
      <c r="A845" s="155"/>
      <c r="B845" s="155"/>
      <c r="C845" s="67"/>
      <c r="D845" s="67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</row>
    <row r="846">
      <c r="A846" s="155"/>
      <c r="B846" s="155"/>
      <c r="C846" s="67"/>
      <c r="D846" s="67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</row>
    <row r="847">
      <c r="A847" s="155"/>
      <c r="B847" s="155"/>
      <c r="C847" s="67"/>
      <c r="D847" s="67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</row>
    <row r="848">
      <c r="A848" s="155"/>
      <c r="B848" s="155"/>
      <c r="C848" s="67"/>
      <c r="D848" s="67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</row>
    <row r="849">
      <c r="A849" s="155"/>
      <c r="B849" s="155"/>
      <c r="C849" s="67"/>
      <c r="D849" s="67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</row>
    <row r="850">
      <c r="A850" s="155"/>
      <c r="B850" s="155"/>
      <c r="C850" s="67"/>
      <c r="D850" s="67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</row>
    <row r="851">
      <c r="A851" s="155"/>
      <c r="B851" s="155"/>
      <c r="C851" s="67"/>
      <c r="D851" s="67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</row>
    <row r="852">
      <c r="A852" s="155"/>
      <c r="B852" s="155"/>
      <c r="C852" s="67"/>
      <c r="D852" s="67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</row>
    <row r="853">
      <c r="A853" s="155"/>
      <c r="B853" s="155"/>
      <c r="C853" s="67"/>
      <c r="D853" s="67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</row>
    <row r="854">
      <c r="A854" s="155"/>
      <c r="B854" s="155"/>
      <c r="C854" s="67"/>
      <c r="D854" s="67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</row>
    <row r="855">
      <c r="A855" s="155"/>
      <c r="B855" s="155"/>
      <c r="C855" s="67"/>
      <c r="D855" s="67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</row>
    <row r="856">
      <c r="A856" s="155"/>
      <c r="B856" s="155"/>
      <c r="C856" s="67"/>
      <c r="D856" s="67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</row>
    <row r="857">
      <c r="A857" s="155"/>
      <c r="B857" s="155"/>
      <c r="C857" s="67"/>
      <c r="D857" s="67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</row>
    <row r="858">
      <c r="A858" s="155"/>
      <c r="B858" s="155"/>
      <c r="C858" s="67"/>
      <c r="D858" s="67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</row>
    <row r="859">
      <c r="A859" s="155"/>
      <c r="B859" s="155"/>
      <c r="C859" s="67"/>
      <c r="D859" s="67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</row>
    <row r="860">
      <c r="A860" s="155"/>
      <c r="B860" s="155"/>
      <c r="C860" s="67"/>
      <c r="D860" s="67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</row>
    <row r="861">
      <c r="A861" s="155"/>
      <c r="B861" s="155"/>
      <c r="C861" s="67"/>
      <c r="D861" s="67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</row>
    <row r="862">
      <c r="A862" s="155"/>
      <c r="B862" s="155"/>
      <c r="C862" s="67"/>
      <c r="D862" s="67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</row>
    <row r="863">
      <c r="A863" s="155"/>
      <c r="B863" s="155"/>
      <c r="C863" s="67"/>
      <c r="D863" s="67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</row>
    <row r="864">
      <c r="A864" s="155"/>
      <c r="B864" s="155"/>
      <c r="C864" s="67"/>
      <c r="D864" s="67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</row>
    <row r="865">
      <c r="A865" s="155"/>
      <c r="B865" s="155"/>
      <c r="C865" s="67"/>
      <c r="D865" s="67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</row>
    <row r="866">
      <c r="A866" s="155"/>
      <c r="B866" s="155"/>
      <c r="C866" s="67"/>
      <c r="D866" s="67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</row>
    <row r="867">
      <c r="A867" s="155"/>
      <c r="B867" s="155"/>
      <c r="C867" s="67"/>
      <c r="D867" s="67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</row>
    <row r="868">
      <c r="A868" s="155"/>
      <c r="B868" s="155"/>
      <c r="C868" s="67"/>
      <c r="D868" s="67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</row>
    <row r="869">
      <c r="A869" s="155"/>
      <c r="B869" s="155"/>
      <c r="C869" s="67"/>
      <c r="D869" s="67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</row>
    <row r="870">
      <c r="A870" s="155"/>
      <c r="B870" s="155"/>
      <c r="C870" s="67"/>
      <c r="D870" s="67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</row>
    <row r="871">
      <c r="A871" s="155"/>
      <c r="B871" s="155"/>
      <c r="C871" s="67"/>
      <c r="D871" s="67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</row>
    <row r="872">
      <c r="A872" s="155"/>
      <c r="B872" s="155"/>
      <c r="C872" s="67"/>
      <c r="D872" s="67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</row>
    <row r="873">
      <c r="A873" s="155"/>
      <c r="B873" s="155"/>
      <c r="C873" s="67"/>
      <c r="D873" s="67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</row>
    <row r="874">
      <c r="A874" s="155"/>
      <c r="B874" s="155"/>
      <c r="C874" s="67"/>
      <c r="D874" s="67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</row>
    <row r="875">
      <c r="A875" s="155"/>
      <c r="B875" s="155"/>
      <c r="C875" s="67"/>
      <c r="D875" s="67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</row>
    <row r="876">
      <c r="A876" s="155"/>
      <c r="B876" s="155"/>
      <c r="C876" s="67"/>
      <c r="D876" s="67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</row>
    <row r="877">
      <c r="A877" s="155"/>
      <c r="B877" s="155"/>
      <c r="C877" s="67"/>
      <c r="D877" s="67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</row>
    <row r="878">
      <c r="A878" s="155"/>
      <c r="B878" s="155"/>
      <c r="C878" s="67"/>
      <c r="D878" s="67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</row>
    <row r="879">
      <c r="A879" s="155"/>
      <c r="B879" s="155"/>
      <c r="C879" s="67"/>
      <c r="D879" s="67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</row>
    <row r="880">
      <c r="A880" s="155"/>
      <c r="B880" s="155"/>
      <c r="C880" s="67"/>
      <c r="D880" s="67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</row>
    <row r="881">
      <c r="A881" s="155"/>
      <c r="B881" s="155"/>
      <c r="C881" s="67"/>
      <c r="D881" s="67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</row>
    <row r="882">
      <c r="A882" s="155"/>
      <c r="B882" s="155"/>
      <c r="C882" s="67"/>
      <c r="D882" s="67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</row>
    <row r="883">
      <c r="A883" s="155"/>
      <c r="B883" s="155"/>
      <c r="C883" s="67"/>
      <c r="D883" s="67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</row>
    <row r="884">
      <c r="A884" s="155"/>
      <c r="B884" s="155"/>
      <c r="C884" s="67"/>
      <c r="D884" s="67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</row>
    <row r="885">
      <c r="A885" s="155"/>
      <c r="B885" s="155"/>
      <c r="C885" s="67"/>
      <c r="D885" s="67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</row>
    <row r="886">
      <c r="A886" s="155"/>
      <c r="B886" s="155"/>
      <c r="C886" s="67"/>
      <c r="D886" s="67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</row>
    <row r="887">
      <c r="A887" s="155"/>
      <c r="B887" s="155"/>
      <c r="C887" s="67"/>
      <c r="D887" s="67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</row>
    <row r="888">
      <c r="A888" s="155"/>
      <c r="B888" s="155"/>
      <c r="C888" s="67"/>
      <c r="D888" s="67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</row>
    <row r="889">
      <c r="A889" s="155"/>
      <c r="B889" s="155"/>
      <c r="C889" s="67"/>
      <c r="D889" s="67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</row>
    <row r="890">
      <c r="A890" s="155"/>
      <c r="B890" s="155"/>
      <c r="C890" s="67"/>
      <c r="D890" s="67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</row>
    <row r="891">
      <c r="A891" s="155"/>
      <c r="B891" s="155"/>
      <c r="C891" s="67"/>
      <c r="D891" s="67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</row>
    <row r="892">
      <c r="A892" s="155"/>
      <c r="B892" s="155"/>
      <c r="C892" s="67"/>
      <c r="D892" s="67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</row>
    <row r="893">
      <c r="A893" s="155"/>
      <c r="B893" s="155"/>
      <c r="C893" s="67"/>
      <c r="D893" s="67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</row>
    <row r="894">
      <c r="A894" s="155"/>
      <c r="B894" s="155"/>
      <c r="C894" s="67"/>
      <c r="D894" s="67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</row>
    <row r="895">
      <c r="A895" s="155"/>
      <c r="B895" s="155"/>
      <c r="C895" s="67"/>
      <c r="D895" s="67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</row>
    <row r="896">
      <c r="A896" s="155"/>
      <c r="B896" s="155"/>
      <c r="C896" s="67"/>
      <c r="D896" s="67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</row>
    <row r="897">
      <c r="A897" s="155"/>
      <c r="B897" s="155"/>
      <c r="C897" s="67"/>
      <c r="D897" s="67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</row>
    <row r="898">
      <c r="A898" s="155"/>
      <c r="B898" s="155"/>
      <c r="C898" s="67"/>
      <c r="D898" s="67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</row>
    <row r="899">
      <c r="A899" s="155"/>
      <c r="B899" s="155"/>
      <c r="C899" s="67"/>
      <c r="D899" s="67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</row>
    <row r="900">
      <c r="A900" s="155"/>
      <c r="B900" s="155"/>
      <c r="C900" s="67"/>
      <c r="D900" s="67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</row>
    <row r="901">
      <c r="A901" s="155"/>
      <c r="B901" s="155"/>
      <c r="C901" s="67"/>
      <c r="D901" s="67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</row>
    <row r="902">
      <c r="A902" s="155"/>
      <c r="B902" s="155"/>
      <c r="C902" s="67"/>
      <c r="D902" s="67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</row>
    <row r="903">
      <c r="A903" s="155"/>
      <c r="B903" s="155"/>
      <c r="C903" s="67"/>
      <c r="D903" s="67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</row>
    <row r="904">
      <c r="A904" s="155"/>
      <c r="B904" s="155"/>
      <c r="C904" s="67"/>
      <c r="D904" s="67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</row>
    <row r="905">
      <c r="A905" s="155"/>
      <c r="B905" s="155"/>
      <c r="C905" s="67"/>
      <c r="D905" s="67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</row>
    <row r="906">
      <c r="A906" s="155"/>
      <c r="B906" s="155"/>
      <c r="C906" s="67"/>
      <c r="D906" s="67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</row>
    <row r="907">
      <c r="A907" s="155"/>
      <c r="B907" s="155"/>
      <c r="C907" s="67"/>
      <c r="D907" s="67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</row>
    <row r="908">
      <c r="A908" s="155"/>
      <c r="B908" s="155"/>
      <c r="C908" s="67"/>
      <c r="D908" s="67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</row>
    <row r="909">
      <c r="A909" s="155"/>
      <c r="B909" s="155"/>
      <c r="C909" s="67"/>
      <c r="D909" s="67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</row>
    <row r="910">
      <c r="A910" s="155"/>
      <c r="B910" s="155"/>
      <c r="C910" s="67"/>
      <c r="D910" s="67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</row>
    <row r="911">
      <c r="A911" s="155"/>
      <c r="B911" s="155"/>
      <c r="C911" s="67"/>
      <c r="D911" s="67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</row>
    <row r="912">
      <c r="A912" s="155"/>
      <c r="B912" s="155"/>
      <c r="C912" s="67"/>
      <c r="D912" s="67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</row>
    <row r="913">
      <c r="A913" s="155"/>
      <c r="B913" s="155"/>
      <c r="C913" s="67"/>
      <c r="D913" s="67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</row>
    <row r="914">
      <c r="A914" s="155"/>
      <c r="B914" s="155"/>
      <c r="C914" s="67"/>
      <c r="D914" s="67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</row>
    <row r="915">
      <c r="A915" s="155"/>
      <c r="B915" s="155"/>
      <c r="C915" s="67"/>
      <c r="D915" s="67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</row>
    <row r="916">
      <c r="A916" s="155"/>
      <c r="B916" s="155"/>
      <c r="C916" s="67"/>
      <c r="D916" s="67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</row>
    <row r="917">
      <c r="A917" s="155"/>
      <c r="B917" s="155"/>
      <c r="C917" s="67"/>
      <c r="D917" s="67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</row>
    <row r="918">
      <c r="A918" s="155"/>
      <c r="B918" s="155"/>
      <c r="C918" s="67"/>
      <c r="D918" s="67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</row>
    <row r="919">
      <c r="A919" s="155"/>
      <c r="B919" s="155"/>
      <c r="C919" s="67"/>
      <c r="D919" s="67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</row>
    <row r="920">
      <c r="A920" s="155"/>
      <c r="B920" s="155"/>
      <c r="C920" s="67"/>
      <c r="D920" s="67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</row>
    <row r="921">
      <c r="A921" s="155"/>
      <c r="B921" s="155"/>
      <c r="C921" s="67"/>
      <c r="D921" s="67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</row>
    <row r="922">
      <c r="A922" s="155"/>
      <c r="B922" s="155"/>
      <c r="C922" s="67"/>
      <c r="D922" s="67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</row>
    <row r="923">
      <c r="A923" s="155"/>
      <c r="B923" s="155"/>
      <c r="C923" s="67"/>
      <c r="D923" s="67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</row>
    <row r="924">
      <c r="A924" s="155"/>
      <c r="B924" s="155"/>
      <c r="C924" s="67"/>
      <c r="D924" s="67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</row>
    <row r="925">
      <c r="A925" s="155"/>
      <c r="B925" s="155"/>
      <c r="C925" s="67"/>
      <c r="D925" s="67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</row>
    <row r="926">
      <c r="A926" s="155"/>
      <c r="B926" s="155"/>
      <c r="C926" s="67"/>
      <c r="D926" s="67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</row>
    <row r="927">
      <c r="A927" s="155"/>
      <c r="B927" s="155"/>
      <c r="C927" s="67"/>
      <c r="D927" s="67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</row>
    <row r="928">
      <c r="A928" s="155"/>
      <c r="B928" s="155"/>
      <c r="C928" s="67"/>
      <c r="D928" s="67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</row>
    <row r="929">
      <c r="A929" s="155"/>
      <c r="B929" s="155"/>
      <c r="C929" s="67"/>
      <c r="D929" s="67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</row>
    <row r="930">
      <c r="A930" s="155"/>
      <c r="B930" s="155"/>
      <c r="C930" s="67"/>
      <c r="D930" s="67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</row>
    <row r="931">
      <c r="A931" s="155"/>
      <c r="B931" s="155"/>
      <c r="C931" s="67"/>
      <c r="D931" s="67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</row>
    <row r="932">
      <c r="A932" s="155"/>
      <c r="B932" s="155"/>
      <c r="C932" s="67"/>
      <c r="D932" s="67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</row>
    <row r="933">
      <c r="A933" s="155"/>
      <c r="B933" s="155"/>
      <c r="C933" s="67"/>
      <c r="D933" s="67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</row>
    <row r="934">
      <c r="A934" s="155"/>
      <c r="B934" s="155"/>
      <c r="C934" s="67"/>
      <c r="D934" s="67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</row>
    <row r="935">
      <c r="A935" s="155"/>
      <c r="B935" s="155"/>
      <c r="C935" s="67"/>
      <c r="D935" s="67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</row>
    <row r="936">
      <c r="A936" s="155"/>
      <c r="B936" s="155"/>
      <c r="C936" s="67"/>
      <c r="D936" s="67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</row>
    <row r="937">
      <c r="A937" s="155"/>
      <c r="B937" s="155"/>
      <c r="C937" s="67"/>
      <c r="D937" s="67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</row>
    <row r="938">
      <c r="A938" s="155"/>
      <c r="B938" s="155"/>
      <c r="C938" s="67"/>
      <c r="D938" s="67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</row>
    <row r="939">
      <c r="A939" s="155"/>
      <c r="B939" s="155"/>
      <c r="C939" s="67"/>
      <c r="D939" s="67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</row>
    <row r="940">
      <c r="A940" s="155"/>
      <c r="B940" s="155"/>
      <c r="C940" s="67"/>
      <c r="D940" s="67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</row>
    <row r="941">
      <c r="A941" s="155"/>
      <c r="B941" s="155"/>
      <c r="C941" s="67"/>
      <c r="D941" s="67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</row>
    <row r="942">
      <c r="A942" s="155"/>
      <c r="B942" s="155"/>
      <c r="C942" s="67"/>
      <c r="D942" s="67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</row>
    <row r="943">
      <c r="A943" s="155"/>
      <c r="B943" s="155"/>
      <c r="C943" s="67"/>
      <c r="D943" s="67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</row>
    <row r="944">
      <c r="A944" s="155"/>
      <c r="B944" s="155"/>
      <c r="C944" s="67"/>
      <c r="D944" s="67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</row>
    <row r="945">
      <c r="A945" s="155"/>
      <c r="B945" s="155"/>
      <c r="C945" s="67"/>
      <c r="D945" s="67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</row>
    <row r="946">
      <c r="A946" s="155"/>
      <c r="B946" s="155"/>
      <c r="C946" s="67"/>
      <c r="D946" s="67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</row>
    <row r="947">
      <c r="A947" s="155"/>
      <c r="B947" s="155"/>
      <c r="C947" s="67"/>
      <c r="D947" s="67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</row>
    <row r="948">
      <c r="A948" s="155"/>
      <c r="B948" s="155"/>
      <c r="C948" s="67"/>
      <c r="D948" s="67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</row>
    <row r="949">
      <c r="A949" s="155"/>
      <c r="B949" s="155"/>
      <c r="C949" s="67"/>
      <c r="D949" s="67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</row>
    <row r="950">
      <c r="A950" s="155"/>
      <c r="B950" s="155"/>
      <c r="C950" s="67"/>
      <c r="D950" s="67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</row>
    <row r="951">
      <c r="A951" s="155"/>
      <c r="B951" s="155"/>
      <c r="C951" s="67"/>
      <c r="D951" s="67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</row>
    <row r="952">
      <c r="A952" s="155"/>
      <c r="B952" s="155"/>
      <c r="C952" s="67"/>
      <c r="D952" s="67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</row>
    <row r="953">
      <c r="A953" s="155"/>
      <c r="B953" s="155"/>
      <c r="C953" s="67"/>
      <c r="D953" s="67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</row>
    <row r="954">
      <c r="A954" s="155"/>
      <c r="B954" s="155"/>
      <c r="C954" s="67"/>
      <c r="D954" s="67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</row>
    <row r="955">
      <c r="A955" s="155"/>
      <c r="B955" s="155"/>
      <c r="C955" s="67"/>
      <c r="D955" s="67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</row>
    <row r="956">
      <c r="A956" s="155"/>
      <c r="B956" s="155"/>
      <c r="C956" s="67"/>
      <c r="D956" s="67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</row>
    <row r="957">
      <c r="A957" s="155"/>
      <c r="B957" s="155"/>
      <c r="C957" s="67"/>
      <c r="D957" s="67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</row>
    <row r="958">
      <c r="A958" s="155"/>
      <c r="B958" s="155"/>
      <c r="C958" s="67"/>
      <c r="D958" s="67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</row>
    <row r="959">
      <c r="A959" s="155"/>
      <c r="B959" s="155"/>
      <c r="C959" s="67"/>
      <c r="D959" s="67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</row>
    <row r="960">
      <c r="A960" s="155"/>
      <c r="B960" s="155"/>
      <c r="C960" s="67"/>
      <c r="D960" s="67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</row>
    <row r="961">
      <c r="A961" s="155"/>
      <c r="B961" s="155"/>
      <c r="C961" s="67"/>
      <c r="D961" s="67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</row>
    <row r="962">
      <c r="A962" s="155"/>
      <c r="B962" s="155"/>
      <c r="C962" s="67"/>
      <c r="D962" s="67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</row>
    <row r="963">
      <c r="A963" s="155"/>
      <c r="B963" s="155"/>
      <c r="C963" s="67"/>
      <c r="D963" s="67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</row>
    <row r="964">
      <c r="A964" s="155"/>
      <c r="B964" s="155"/>
      <c r="C964" s="67"/>
      <c r="D964" s="67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</row>
    <row r="965">
      <c r="A965" s="155"/>
      <c r="B965" s="155"/>
      <c r="C965" s="67"/>
      <c r="D965" s="67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</row>
    <row r="966">
      <c r="A966" s="155"/>
      <c r="B966" s="155"/>
      <c r="C966" s="67"/>
      <c r="D966" s="67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</row>
    <row r="967">
      <c r="A967" s="155"/>
      <c r="B967" s="155"/>
      <c r="C967" s="67"/>
      <c r="D967" s="67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</row>
    <row r="968">
      <c r="A968" s="155"/>
      <c r="B968" s="155"/>
      <c r="C968" s="67"/>
      <c r="D968" s="67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</row>
    <row r="969">
      <c r="A969" s="155"/>
      <c r="B969" s="155"/>
      <c r="C969" s="67"/>
      <c r="D969" s="67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</row>
    <row r="970">
      <c r="A970" s="155"/>
      <c r="B970" s="155"/>
      <c r="C970" s="67"/>
      <c r="D970" s="67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</row>
    <row r="971">
      <c r="A971" s="155"/>
      <c r="B971" s="155"/>
      <c r="C971" s="67"/>
      <c r="D971" s="67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</row>
    <row r="972">
      <c r="A972" s="155"/>
      <c r="B972" s="155"/>
      <c r="C972" s="67"/>
      <c r="D972" s="67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</row>
    <row r="973">
      <c r="A973" s="155"/>
      <c r="B973" s="155"/>
      <c r="C973" s="67"/>
      <c r="D973" s="67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</row>
    <row r="974">
      <c r="A974" s="155"/>
      <c r="B974" s="155"/>
      <c r="C974" s="67"/>
      <c r="D974" s="67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</row>
    <row r="975">
      <c r="A975" s="155"/>
      <c r="B975" s="155"/>
      <c r="C975" s="67"/>
      <c r="D975" s="67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</row>
    <row r="976">
      <c r="A976" s="155"/>
      <c r="B976" s="155"/>
      <c r="C976" s="67"/>
      <c r="D976" s="67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</row>
    <row r="977">
      <c r="A977" s="155"/>
      <c r="B977" s="155"/>
      <c r="C977" s="67"/>
      <c r="D977" s="67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</row>
    <row r="978">
      <c r="A978" s="155"/>
      <c r="B978" s="155"/>
      <c r="C978" s="67"/>
      <c r="D978" s="67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</row>
    <row r="979">
      <c r="A979" s="155"/>
      <c r="B979" s="155"/>
      <c r="C979" s="67"/>
      <c r="D979" s="67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</row>
    <row r="980">
      <c r="A980" s="155"/>
      <c r="B980" s="155"/>
      <c r="C980" s="67"/>
      <c r="D980" s="67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</row>
    <row r="981">
      <c r="A981" s="155"/>
      <c r="B981" s="155"/>
      <c r="C981" s="67"/>
      <c r="D981" s="67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</row>
    <row r="982">
      <c r="A982" s="155"/>
      <c r="B982" s="155"/>
      <c r="C982" s="67"/>
      <c r="D982" s="67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</row>
    <row r="983">
      <c r="A983" s="155"/>
      <c r="B983" s="155"/>
      <c r="C983" s="67"/>
      <c r="D983" s="67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</row>
    <row r="984">
      <c r="A984" s="155"/>
      <c r="B984" s="155"/>
      <c r="C984" s="67"/>
      <c r="D984" s="67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</row>
    <row r="985">
      <c r="A985" s="155"/>
      <c r="B985" s="155"/>
      <c r="C985" s="67"/>
      <c r="D985" s="67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</row>
    <row r="986">
      <c r="A986" s="155"/>
      <c r="B986" s="155"/>
      <c r="C986" s="67"/>
      <c r="D986" s="67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</row>
    <row r="987">
      <c r="A987" s="155"/>
      <c r="B987" s="155"/>
      <c r="C987" s="67"/>
      <c r="D987" s="67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</row>
    <row r="988">
      <c r="A988" s="155"/>
      <c r="B988" s="155"/>
      <c r="C988" s="67"/>
      <c r="D988" s="67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</row>
    <row r="989">
      <c r="A989" s="155"/>
      <c r="B989" s="155"/>
      <c r="C989" s="67"/>
      <c r="D989" s="67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</row>
    <row r="990">
      <c r="A990" s="155"/>
      <c r="B990" s="155"/>
      <c r="C990" s="67"/>
      <c r="D990" s="67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</row>
    <row r="991">
      <c r="A991" s="155"/>
      <c r="B991" s="155"/>
      <c r="C991" s="67"/>
      <c r="D991" s="67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</row>
    <row r="992">
      <c r="A992" s="155"/>
      <c r="B992" s="155"/>
      <c r="C992" s="67"/>
      <c r="D992" s="67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</row>
    <row r="993">
      <c r="A993" s="155"/>
      <c r="B993" s="155"/>
      <c r="C993" s="67"/>
      <c r="D993" s="67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</row>
    <row r="994">
      <c r="A994" s="155"/>
      <c r="B994" s="155"/>
      <c r="C994" s="67"/>
      <c r="D994" s="67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</row>
    <row r="995">
      <c r="A995" s="155"/>
      <c r="B995" s="155"/>
      <c r="C995" s="67"/>
      <c r="D995" s="67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</row>
    <row r="996">
      <c r="A996" s="155"/>
      <c r="B996" s="155"/>
      <c r="C996" s="67"/>
      <c r="D996" s="67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</row>
    <row r="997">
      <c r="A997" s="155"/>
      <c r="B997" s="155"/>
      <c r="C997" s="67"/>
      <c r="D997" s="67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</row>
    <row r="998">
      <c r="A998" s="155"/>
      <c r="B998" s="155"/>
      <c r="C998" s="67"/>
      <c r="D998" s="67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</row>
    <row r="999">
      <c r="A999" s="155"/>
      <c r="B999" s="155"/>
      <c r="C999" s="67"/>
      <c r="D999" s="67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</row>
    <row r="1000">
      <c r="A1000" s="155"/>
      <c r="B1000" s="155"/>
      <c r="C1000" s="67"/>
      <c r="D1000" s="67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</row>
    <row r="1001">
      <c r="A1001" s="155"/>
      <c r="B1001" s="155"/>
      <c r="C1001" s="67"/>
      <c r="D1001" s="67"/>
      <c r="E1001" s="155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  <c r="AI1001" s="155"/>
      <c r="AJ1001" s="155"/>
      <c r="AK1001" s="155"/>
      <c r="AL1001" s="155"/>
      <c r="AM1001" s="155"/>
      <c r="AN1001" s="155"/>
      <c r="AO1001" s="155"/>
      <c r="AP1001" s="155"/>
      <c r="AQ1001" s="155"/>
      <c r="AR1001" s="155"/>
      <c r="AS1001" s="155"/>
      <c r="AT1001" s="155"/>
      <c r="AU1001" s="155"/>
    </row>
    <row r="1002">
      <c r="A1002" s="155"/>
      <c r="B1002" s="155"/>
      <c r="C1002" s="67"/>
      <c r="D1002" s="67"/>
      <c r="E1002" s="155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  <c r="AI1002" s="155"/>
      <c r="AJ1002" s="155"/>
      <c r="AK1002" s="155"/>
      <c r="AL1002" s="155"/>
      <c r="AM1002" s="155"/>
      <c r="AN1002" s="155"/>
      <c r="AO1002" s="155"/>
      <c r="AP1002" s="155"/>
      <c r="AQ1002" s="155"/>
      <c r="AR1002" s="155"/>
      <c r="AS1002" s="155"/>
      <c r="AT1002" s="155"/>
      <c r="AU1002" s="155"/>
    </row>
    <row r="1003">
      <c r="A1003" s="155"/>
      <c r="B1003" s="155"/>
      <c r="C1003" s="67"/>
      <c r="D1003" s="67"/>
      <c r="E1003" s="155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  <c r="AI1003" s="155"/>
      <c r="AJ1003" s="155"/>
      <c r="AK1003" s="155"/>
      <c r="AL1003" s="155"/>
      <c r="AM1003" s="155"/>
      <c r="AN1003" s="155"/>
      <c r="AO1003" s="155"/>
      <c r="AP1003" s="155"/>
      <c r="AQ1003" s="155"/>
      <c r="AR1003" s="155"/>
      <c r="AS1003" s="155"/>
      <c r="AT1003" s="155"/>
      <c r="AU1003" s="155"/>
    </row>
    <row r="1004">
      <c r="A1004" s="155"/>
      <c r="B1004" s="155"/>
      <c r="C1004" s="67"/>
      <c r="D1004" s="67"/>
      <c r="E1004" s="155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  <c r="AI1004" s="155"/>
      <c r="AJ1004" s="155"/>
      <c r="AK1004" s="155"/>
      <c r="AL1004" s="155"/>
      <c r="AM1004" s="155"/>
      <c r="AN1004" s="155"/>
      <c r="AO1004" s="155"/>
      <c r="AP1004" s="155"/>
      <c r="AQ1004" s="155"/>
      <c r="AR1004" s="155"/>
      <c r="AS1004" s="155"/>
      <c r="AT1004" s="155"/>
      <c r="AU1004" s="155"/>
    </row>
    <row r="1005">
      <c r="A1005" s="155"/>
      <c r="B1005" s="155"/>
      <c r="C1005" s="67"/>
      <c r="D1005" s="67"/>
      <c r="E1005" s="155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  <c r="AI1005" s="155"/>
      <c r="AJ1005" s="155"/>
      <c r="AK1005" s="155"/>
      <c r="AL1005" s="155"/>
      <c r="AM1005" s="155"/>
      <c r="AN1005" s="155"/>
      <c r="AO1005" s="155"/>
      <c r="AP1005" s="155"/>
      <c r="AQ1005" s="155"/>
      <c r="AR1005" s="155"/>
      <c r="AS1005" s="155"/>
      <c r="AT1005" s="155"/>
      <c r="AU1005" s="155"/>
    </row>
    <row r="1006">
      <c r="A1006" s="155"/>
      <c r="B1006" s="155"/>
      <c r="C1006" s="67"/>
      <c r="D1006" s="67"/>
      <c r="E1006" s="155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  <c r="AI1006" s="155"/>
      <c r="AJ1006" s="155"/>
      <c r="AK1006" s="155"/>
      <c r="AL1006" s="155"/>
      <c r="AM1006" s="155"/>
      <c r="AN1006" s="155"/>
      <c r="AO1006" s="155"/>
      <c r="AP1006" s="155"/>
      <c r="AQ1006" s="155"/>
      <c r="AR1006" s="155"/>
      <c r="AS1006" s="155"/>
      <c r="AT1006" s="155"/>
      <c r="AU1006" s="155"/>
    </row>
    <row r="1007">
      <c r="A1007" s="155"/>
      <c r="B1007" s="155"/>
      <c r="C1007" s="67"/>
      <c r="D1007" s="67"/>
      <c r="E1007" s="155"/>
      <c r="F1007" s="155"/>
      <c r="G1007" s="155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  <c r="AI1007" s="155"/>
      <c r="AJ1007" s="155"/>
      <c r="AK1007" s="155"/>
      <c r="AL1007" s="155"/>
      <c r="AM1007" s="155"/>
      <c r="AN1007" s="155"/>
      <c r="AO1007" s="155"/>
      <c r="AP1007" s="155"/>
      <c r="AQ1007" s="155"/>
      <c r="AR1007" s="155"/>
      <c r="AS1007" s="155"/>
      <c r="AT1007" s="155"/>
      <c r="AU1007" s="155"/>
    </row>
    <row r="1008">
      <c r="A1008" s="155"/>
      <c r="B1008" s="155"/>
      <c r="C1008" s="67"/>
      <c r="D1008" s="67"/>
      <c r="E1008" s="155"/>
      <c r="F1008" s="155"/>
      <c r="G1008" s="155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  <c r="AI1008" s="155"/>
      <c r="AJ1008" s="155"/>
      <c r="AK1008" s="155"/>
      <c r="AL1008" s="155"/>
      <c r="AM1008" s="155"/>
      <c r="AN1008" s="155"/>
      <c r="AO1008" s="155"/>
      <c r="AP1008" s="155"/>
      <c r="AQ1008" s="155"/>
      <c r="AR1008" s="155"/>
      <c r="AS1008" s="155"/>
      <c r="AT1008" s="155"/>
      <c r="AU1008" s="155"/>
    </row>
    <row r="1009">
      <c r="A1009" s="155"/>
      <c r="B1009" s="155"/>
      <c r="C1009" s="67"/>
      <c r="D1009" s="67"/>
      <c r="E1009" s="155"/>
      <c r="F1009" s="155"/>
      <c r="G1009" s="155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  <c r="AF1009" s="155"/>
      <c r="AG1009" s="155"/>
      <c r="AH1009" s="155"/>
      <c r="AI1009" s="155"/>
      <c r="AJ1009" s="155"/>
      <c r="AK1009" s="155"/>
      <c r="AL1009" s="155"/>
      <c r="AM1009" s="155"/>
      <c r="AN1009" s="155"/>
      <c r="AO1009" s="155"/>
      <c r="AP1009" s="155"/>
      <c r="AQ1009" s="155"/>
      <c r="AR1009" s="155"/>
      <c r="AS1009" s="155"/>
      <c r="AT1009" s="155"/>
      <c r="AU1009" s="155"/>
    </row>
    <row r="1010">
      <c r="A1010" s="155"/>
      <c r="B1010" s="155"/>
      <c r="C1010" s="67"/>
      <c r="D1010" s="67"/>
      <c r="E1010" s="155"/>
      <c r="F1010" s="155"/>
      <c r="G1010" s="155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  <c r="AF1010" s="155"/>
      <c r="AG1010" s="155"/>
      <c r="AH1010" s="155"/>
      <c r="AI1010" s="155"/>
      <c r="AJ1010" s="155"/>
      <c r="AK1010" s="155"/>
      <c r="AL1010" s="155"/>
      <c r="AM1010" s="155"/>
      <c r="AN1010" s="155"/>
      <c r="AO1010" s="155"/>
      <c r="AP1010" s="155"/>
      <c r="AQ1010" s="155"/>
      <c r="AR1010" s="155"/>
      <c r="AS1010" s="155"/>
      <c r="AT1010" s="155"/>
      <c r="AU1010" s="155"/>
    </row>
    <row r="1011">
      <c r="A1011" s="155"/>
      <c r="B1011" s="155"/>
      <c r="C1011" s="67"/>
      <c r="D1011" s="67"/>
      <c r="E1011" s="155"/>
      <c r="F1011" s="155"/>
      <c r="G1011" s="155"/>
      <c r="H1011" s="155"/>
      <c r="I1011" s="155"/>
      <c r="J1011" s="155"/>
      <c r="K1011" s="155"/>
      <c r="L1011" s="155"/>
      <c r="M1011" s="155"/>
      <c r="N1011" s="155"/>
      <c r="O1011" s="155"/>
      <c r="P1011" s="155"/>
      <c r="Q1011" s="155"/>
      <c r="R1011" s="155"/>
      <c r="S1011" s="155"/>
      <c r="T1011" s="155"/>
      <c r="U1011" s="155"/>
      <c r="V1011" s="155"/>
      <c r="W1011" s="155"/>
      <c r="X1011" s="155"/>
      <c r="Y1011" s="155"/>
      <c r="Z1011" s="155"/>
      <c r="AA1011" s="155"/>
      <c r="AB1011" s="155"/>
      <c r="AC1011" s="155"/>
      <c r="AD1011" s="155"/>
      <c r="AE1011" s="155"/>
      <c r="AF1011" s="155"/>
      <c r="AG1011" s="155"/>
      <c r="AH1011" s="155"/>
      <c r="AI1011" s="155"/>
      <c r="AJ1011" s="155"/>
      <c r="AK1011" s="155"/>
      <c r="AL1011" s="155"/>
      <c r="AM1011" s="155"/>
      <c r="AN1011" s="155"/>
      <c r="AO1011" s="155"/>
      <c r="AP1011" s="155"/>
      <c r="AQ1011" s="155"/>
      <c r="AR1011" s="155"/>
      <c r="AS1011" s="155"/>
      <c r="AT1011" s="155"/>
      <c r="AU1011" s="155"/>
    </row>
    <row r="1012">
      <c r="A1012" s="155"/>
      <c r="B1012" s="155"/>
      <c r="C1012" s="67"/>
      <c r="D1012" s="67"/>
      <c r="E1012" s="155"/>
      <c r="F1012" s="155"/>
      <c r="G1012" s="155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5"/>
      <c r="AA1012" s="155"/>
      <c r="AB1012" s="155"/>
      <c r="AC1012" s="155"/>
      <c r="AD1012" s="155"/>
      <c r="AE1012" s="155"/>
      <c r="AF1012" s="155"/>
      <c r="AG1012" s="155"/>
      <c r="AH1012" s="155"/>
      <c r="AI1012" s="155"/>
      <c r="AJ1012" s="155"/>
      <c r="AK1012" s="155"/>
      <c r="AL1012" s="155"/>
      <c r="AM1012" s="155"/>
      <c r="AN1012" s="155"/>
      <c r="AO1012" s="155"/>
      <c r="AP1012" s="155"/>
      <c r="AQ1012" s="155"/>
      <c r="AR1012" s="155"/>
      <c r="AS1012" s="155"/>
      <c r="AT1012" s="155"/>
      <c r="AU1012" s="155"/>
    </row>
    <row r="1013">
      <c r="A1013" s="155"/>
      <c r="B1013" s="155"/>
      <c r="C1013" s="67"/>
      <c r="D1013" s="67"/>
      <c r="E1013" s="155"/>
      <c r="F1013" s="155"/>
      <c r="G1013" s="155"/>
      <c r="H1013" s="155"/>
      <c r="I1013" s="155"/>
      <c r="J1013" s="155"/>
      <c r="K1013" s="155"/>
      <c r="L1013" s="155"/>
      <c r="M1013" s="155"/>
      <c r="N1013" s="155"/>
      <c r="O1013" s="155"/>
      <c r="P1013" s="155"/>
      <c r="Q1013" s="155"/>
      <c r="R1013" s="155"/>
      <c r="S1013" s="155"/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5"/>
      <c r="AH1013" s="155"/>
      <c r="AI1013" s="155"/>
      <c r="AJ1013" s="155"/>
      <c r="AK1013" s="155"/>
      <c r="AL1013" s="155"/>
      <c r="AM1013" s="155"/>
      <c r="AN1013" s="155"/>
      <c r="AO1013" s="155"/>
      <c r="AP1013" s="155"/>
      <c r="AQ1013" s="155"/>
      <c r="AR1013" s="155"/>
      <c r="AS1013" s="155"/>
      <c r="AT1013" s="155"/>
      <c r="AU1013" s="155"/>
    </row>
    <row r="1014">
      <c r="A1014" s="155"/>
      <c r="B1014" s="155"/>
      <c r="C1014" s="67"/>
      <c r="D1014" s="67"/>
      <c r="E1014" s="155"/>
      <c r="F1014" s="155"/>
      <c r="G1014" s="155"/>
      <c r="H1014" s="155"/>
      <c r="I1014" s="155"/>
      <c r="J1014" s="155"/>
      <c r="K1014" s="155"/>
      <c r="L1014" s="155"/>
      <c r="M1014" s="155"/>
      <c r="N1014" s="155"/>
      <c r="O1014" s="155"/>
      <c r="P1014" s="155"/>
      <c r="Q1014" s="155"/>
      <c r="R1014" s="155"/>
      <c r="S1014" s="155"/>
      <c r="T1014" s="155"/>
      <c r="U1014" s="155"/>
      <c r="V1014" s="155"/>
      <c r="W1014" s="155"/>
      <c r="X1014" s="155"/>
      <c r="Y1014" s="155"/>
      <c r="Z1014" s="155"/>
      <c r="AA1014" s="155"/>
      <c r="AB1014" s="155"/>
      <c r="AC1014" s="155"/>
      <c r="AD1014" s="155"/>
      <c r="AE1014" s="155"/>
      <c r="AF1014" s="155"/>
      <c r="AG1014" s="155"/>
      <c r="AH1014" s="155"/>
      <c r="AI1014" s="155"/>
      <c r="AJ1014" s="155"/>
      <c r="AK1014" s="155"/>
      <c r="AL1014" s="155"/>
      <c r="AM1014" s="155"/>
      <c r="AN1014" s="155"/>
      <c r="AO1014" s="155"/>
      <c r="AP1014" s="155"/>
      <c r="AQ1014" s="155"/>
      <c r="AR1014" s="155"/>
      <c r="AS1014" s="155"/>
      <c r="AT1014" s="155"/>
      <c r="AU1014" s="155"/>
    </row>
    <row r="1015">
      <c r="A1015" s="155"/>
      <c r="B1015" s="155"/>
      <c r="C1015" s="67"/>
      <c r="D1015" s="67"/>
      <c r="E1015" s="155"/>
      <c r="F1015" s="155"/>
      <c r="G1015" s="155"/>
      <c r="H1015" s="155"/>
      <c r="I1015" s="155"/>
      <c r="J1015" s="155"/>
      <c r="K1015" s="155"/>
      <c r="L1015" s="155"/>
      <c r="M1015" s="155"/>
      <c r="N1015" s="155"/>
      <c r="O1015" s="155"/>
      <c r="P1015" s="155"/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  <c r="AA1015" s="155"/>
      <c r="AB1015" s="155"/>
      <c r="AC1015" s="155"/>
      <c r="AD1015" s="155"/>
      <c r="AE1015" s="155"/>
      <c r="AF1015" s="155"/>
      <c r="AG1015" s="155"/>
      <c r="AH1015" s="155"/>
      <c r="AI1015" s="155"/>
      <c r="AJ1015" s="155"/>
      <c r="AK1015" s="155"/>
      <c r="AL1015" s="155"/>
      <c r="AM1015" s="155"/>
      <c r="AN1015" s="155"/>
      <c r="AO1015" s="155"/>
      <c r="AP1015" s="155"/>
      <c r="AQ1015" s="155"/>
      <c r="AR1015" s="155"/>
      <c r="AS1015" s="155"/>
      <c r="AT1015" s="155"/>
      <c r="AU1015" s="155"/>
    </row>
    <row r="1016">
      <c r="A1016" s="155"/>
      <c r="B1016" s="155"/>
      <c r="C1016" s="67"/>
      <c r="D1016" s="67"/>
      <c r="E1016" s="155"/>
      <c r="F1016" s="155"/>
      <c r="G1016" s="155"/>
      <c r="H1016" s="155"/>
      <c r="I1016" s="155"/>
      <c r="J1016" s="155"/>
      <c r="K1016" s="155"/>
      <c r="L1016" s="155"/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  <c r="AA1016" s="155"/>
      <c r="AB1016" s="155"/>
      <c r="AC1016" s="155"/>
      <c r="AD1016" s="155"/>
      <c r="AE1016" s="155"/>
      <c r="AF1016" s="155"/>
      <c r="AG1016" s="155"/>
      <c r="AH1016" s="155"/>
      <c r="AI1016" s="155"/>
      <c r="AJ1016" s="155"/>
      <c r="AK1016" s="155"/>
      <c r="AL1016" s="155"/>
      <c r="AM1016" s="155"/>
      <c r="AN1016" s="155"/>
      <c r="AO1016" s="155"/>
      <c r="AP1016" s="155"/>
      <c r="AQ1016" s="155"/>
      <c r="AR1016" s="155"/>
      <c r="AS1016" s="155"/>
      <c r="AT1016" s="155"/>
      <c r="AU1016" s="155"/>
    </row>
    <row r="1017">
      <c r="A1017" s="155"/>
      <c r="B1017" s="155"/>
      <c r="C1017" s="67"/>
      <c r="D1017" s="67"/>
      <c r="E1017" s="155"/>
      <c r="F1017" s="155"/>
      <c r="G1017" s="155"/>
      <c r="H1017" s="155"/>
      <c r="I1017" s="155"/>
      <c r="J1017" s="155"/>
      <c r="K1017" s="155"/>
      <c r="L1017" s="155"/>
      <c r="M1017" s="155"/>
      <c r="N1017" s="155"/>
      <c r="O1017" s="155"/>
      <c r="P1017" s="155"/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  <c r="AA1017" s="155"/>
      <c r="AB1017" s="155"/>
      <c r="AC1017" s="155"/>
      <c r="AD1017" s="155"/>
      <c r="AE1017" s="155"/>
      <c r="AF1017" s="155"/>
      <c r="AG1017" s="155"/>
      <c r="AH1017" s="155"/>
      <c r="AI1017" s="155"/>
      <c r="AJ1017" s="155"/>
      <c r="AK1017" s="155"/>
      <c r="AL1017" s="155"/>
      <c r="AM1017" s="155"/>
      <c r="AN1017" s="155"/>
      <c r="AO1017" s="155"/>
      <c r="AP1017" s="155"/>
      <c r="AQ1017" s="155"/>
      <c r="AR1017" s="155"/>
      <c r="AS1017" s="155"/>
      <c r="AT1017" s="155"/>
      <c r="AU1017" s="155"/>
    </row>
    <row r="1018">
      <c r="A1018" s="155"/>
      <c r="B1018" s="155"/>
      <c r="C1018" s="67"/>
      <c r="D1018" s="67"/>
      <c r="E1018" s="155"/>
      <c r="F1018" s="155"/>
      <c r="G1018" s="155"/>
      <c r="H1018" s="155"/>
      <c r="I1018" s="155"/>
      <c r="J1018" s="155"/>
      <c r="K1018" s="155"/>
      <c r="L1018" s="155"/>
      <c r="M1018" s="155"/>
      <c r="N1018" s="155"/>
      <c r="O1018" s="155"/>
      <c r="P1018" s="155"/>
      <c r="Q1018" s="155"/>
      <c r="R1018" s="155"/>
      <c r="S1018" s="155"/>
      <c r="T1018" s="155"/>
      <c r="U1018" s="155"/>
      <c r="V1018" s="155"/>
      <c r="W1018" s="155"/>
      <c r="X1018" s="155"/>
      <c r="Y1018" s="155"/>
      <c r="Z1018" s="155"/>
      <c r="AA1018" s="155"/>
      <c r="AB1018" s="155"/>
      <c r="AC1018" s="155"/>
      <c r="AD1018" s="155"/>
      <c r="AE1018" s="155"/>
      <c r="AF1018" s="155"/>
      <c r="AG1018" s="155"/>
      <c r="AH1018" s="155"/>
      <c r="AI1018" s="155"/>
      <c r="AJ1018" s="155"/>
      <c r="AK1018" s="155"/>
      <c r="AL1018" s="155"/>
      <c r="AM1018" s="155"/>
      <c r="AN1018" s="155"/>
      <c r="AO1018" s="155"/>
      <c r="AP1018" s="155"/>
      <c r="AQ1018" s="155"/>
      <c r="AR1018" s="155"/>
      <c r="AS1018" s="155"/>
      <c r="AT1018" s="155"/>
      <c r="AU1018" s="155"/>
    </row>
    <row r="1019">
      <c r="A1019" s="155"/>
      <c r="B1019" s="155"/>
      <c r="C1019" s="67"/>
      <c r="D1019" s="67"/>
      <c r="E1019" s="155"/>
      <c r="F1019" s="155"/>
      <c r="G1019" s="155"/>
      <c r="H1019" s="155"/>
      <c r="I1019" s="155"/>
      <c r="J1019" s="155"/>
      <c r="K1019" s="155"/>
      <c r="L1019" s="155"/>
      <c r="M1019" s="155"/>
      <c r="N1019" s="155"/>
      <c r="O1019" s="155"/>
      <c r="P1019" s="155"/>
      <c r="Q1019" s="155"/>
      <c r="R1019" s="155"/>
      <c r="S1019" s="155"/>
      <c r="T1019" s="155"/>
      <c r="U1019" s="155"/>
      <c r="V1019" s="155"/>
      <c r="W1019" s="155"/>
      <c r="X1019" s="155"/>
      <c r="Y1019" s="155"/>
      <c r="Z1019" s="155"/>
      <c r="AA1019" s="155"/>
      <c r="AB1019" s="155"/>
      <c r="AC1019" s="155"/>
      <c r="AD1019" s="155"/>
      <c r="AE1019" s="155"/>
      <c r="AF1019" s="155"/>
      <c r="AG1019" s="155"/>
      <c r="AH1019" s="155"/>
      <c r="AI1019" s="155"/>
      <c r="AJ1019" s="155"/>
      <c r="AK1019" s="155"/>
      <c r="AL1019" s="155"/>
      <c r="AM1019" s="155"/>
      <c r="AN1019" s="155"/>
      <c r="AO1019" s="155"/>
      <c r="AP1019" s="155"/>
      <c r="AQ1019" s="155"/>
      <c r="AR1019" s="155"/>
      <c r="AS1019" s="155"/>
      <c r="AT1019" s="155"/>
      <c r="AU1019" s="155"/>
    </row>
    <row r="1020">
      <c r="A1020" s="155"/>
      <c r="B1020" s="155"/>
      <c r="C1020" s="67"/>
      <c r="D1020" s="67"/>
      <c r="E1020" s="155"/>
      <c r="F1020" s="155"/>
      <c r="G1020" s="155"/>
      <c r="H1020" s="155"/>
      <c r="I1020" s="155"/>
      <c r="J1020" s="155"/>
      <c r="K1020" s="155"/>
      <c r="L1020" s="155"/>
      <c r="M1020" s="155"/>
      <c r="N1020" s="155"/>
      <c r="O1020" s="155"/>
      <c r="P1020" s="155"/>
      <c r="Q1020" s="155"/>
      <c r="R1020" s="155"/>
      <c r="S1020" s="155"/>
      <c r="T1020" s="155"/>
      <c r="U1020" s="155"/>
      <c r="V1020" s="155"/>
      <c r="W1020" s="155"/>
      <c r="X1020" s="155"/>
      <c r="Y1020" s="155"/>
      <c r="Z1020" s="155"/>
      <c r="AA1020" s="155"/>
      <c r="AB1020" s="155"/>
      <c r="AC1020" s="155"/>
      <c r="AD1020" s="155"/>
      <c r="AE1020" s="155"/>
      <c r="AF1020" s="155"/>
      <c r="AG1020" s="155"/>
      <c r="AH1020" s="155"/>
      <c r="AI1020" s="155"/>
      <c r="AJ1020" s="155"/>
      <c r="AK1020" s="155"/>
      <c r="AL1020" s="155"/>
      <c r="AM1020" s="155"/>
      <c r="AN1020" s="155"/>
      <c r="AO1020" s="155"/>
      <c r="AP1020" s="155"/>
      <c r="AQ1020" s="155"/>
      <c r="AR1020" s="155"/>
      <c r="AS1020" s="155"/>
      <c r="AT1020" s="155"/>
      <c r="AU1020" s="155"/>
    </row>
    <row r="1021">
      <c r="A1021" s="155"/>
      <c r="B1021" s="155"/>
      <c r="C1021" s="67"/>
      <c r="D1021" s="67"/>
      <c r="E1021" s="155"/>
      <c r="F1021" s="155"/>
      <c r="G1021" s="155"/>
      <c r="H1021" s="155"/>
      <c r="I1021" s="155"/>
      <c r="J1021" s="155"/>
      <c r="K1021" s="155"/>
      <c r="L1021" s="155"/>
      <c r="M1021" s="155"/>
      <c r="N1021" s="155"/>
      <c r="O1021" s="155"/>
      <c r="P1021" s="155"/>
      <c r="Q1021" s="155"/>
      <c r="R1021" s="155"/>
      <c r="S1021" s="155"/>
      <c r="T1021" s="155"/>
      <c r="U1021" s="155"/>
      <c r="V1021" s="155"/>
      <c r="W1021" s="155"/>
      <c r="X1021" s="155"/>
      <c r="Y1021" s="155"/>
      <c r="Z1021" s="155"/>
      <c r="AA1021" s="155"/>
      <c r="AB1021" s="155"/>
      <c r="AC1021" s="155"/>
      <c r="AD1021" s="155"/>
      <c r="AE1021" s="155"/>
      <c r="AF1021" s="155"/>
      <c r="AG1021" s="155"/>
      <c r="AH1021" s="155"/>
      <c r="AI1021" s="155"/>
      <c r="AJ1021" s="155"/>
      <c r="AK1021" s="155"/>
      <c r="AL1021" s="155"/>
      <c r="AM1021" s="155"/>
      <c r="AN1021" s="155"/>
      <c r="AO1021" s="155"/>
      <c r="AP1021" s="155"/>
      <c r="AQ1021" s="155"/>
      <c r="AR1021" s="155"/>
      <c r="AS1021" s="155"/>
      <c r="AT1021" s="155"/>
      <c r="AU1021" s="155"/>
    </row>
    <row r="1022">
      <c r="A1022" s="155"/>
      <c r="B1022" s="155"/>
      <c r="C1022" s="67"/>
      <c r="D1022" s="67"/>
      <c r="E1022" s="155"/>
      <c r="F1022" s="155"/>
      <c r="G1022" s="155"/>
      <c r="H1022" s="155"/>
      <c r="I1022" s="155"/>
      <c r="J1022" s="155"/>
      <c r="K1022" s="155"/>
      <c r="L1022" s="155"/>
      <c r="M1022" s="155"/>
      <c r="N1022" s="155"/>
      <c r="O1022" s="155"/>
      <c r="P1022" s="155"/>
      <c r="Q1022" s="155"/>
      <c r="R1022" s="155"/>
      <c r="S1022" s="155"/>
      <c r="T1022" s="155"/>
      <c r="U1022" s="155"/>
      <c r="V1022" s="155"/>
      <c r="W1022" s="155"/>
      <c r="X1022" s="155"/>
      <c r="Y1022" s="155"/>
      <c r="Z1022" s="155"/>
      <c r="AA1022" s="155"/>
      <c r="AB1022" s="155"/>
      <c r="AC1022" s="155"/>
      <c r="AD1022" s="155"/>
      <c r="AE1022" s="155"/>
      <c r="AF1022" s="155"/>
      <c r="AG1022" s="155"/>
      <c r="AH1022" s="155"/>
      <c r="AI1022" s="155"/>
      <c r="AJ1022" s="155"/>
      <c r="AK1022" s="155"/>
      <c r="AL1022" s="155"/>
      <c r="AM1022" s="155"/>
      <c r="AN1022" s="155"/>
      <c r="AO1022" s="155"/>
      <c r="AP1022" s="155"/>
      <c r="AQ1022" s="155"/>
      <c r="AR1022" s="155"/>
      <c r="AS1022" s="155"/>
      <c r="AT1022" s="155"/>
      <c r="AU1022" s="155"/>
    </row>
    <row r="1023">
      <c r="A1023" s="155"/>
      <c r="B1023" s="155"/>
      <c r="C1023" s="67"/>
      <c r="D1023" s="67"/>
      <c r="E1023" s="155"/>
      <c r="F1023" s="155"/>
      <c r="G1023" s="155"/>
      <c r="H1023" s="155"/>
      <c r="I1023" s="155"/>
      <c r="J1023" s="155"/>
      <c r="K1023" s="155"/>
      <c r="L1023" s="155"/>
      <c r="M1023" s="155"/>
      <c r="N1023" s="155"/>
      <c r="O1023" s="155"/>
      <c r="P1023" s="155"/>
      <c r="Q1023" s="155"/>
      <c r="R1023" s="155"/>
      <c r="S1023" s="155"/>
      <c r="T1023" s="155"/>
      <c r="U1023" s="155"/>
      <c r="V1023" s="155"/>
      <c r="W1023" s="155"/>
      <c r="X1023" s="155"/>
      <c r="Y1023" s="155"/>
      <c r="Z1023" s="155"/>
      <c r="AA1023" s="155"/>
      <c r="AB1023" s="155"/>
      <c r="AC1023" s="155"/>
      <c r="AD1023" s="155"/>
      <c r="AE1023" s="155"/>
      <c r="AF1023" s="155"/>
      <c r="AG1023" s="155"/>
      <c r="AH1023" s="155"/>
      <c r="AI1023" s="155"/>
      <c r="AJ1023" s="155"/>
      <c r="AK1023" s="155"/>
      <c r="AL1023" s="155"/>
      <c r="AM1023" s="155"/>
      <c r="AN1023" s="155"/>
      <c r="AO1023" s="155"/>
      <c r="AP1023" s="155"/>
      <c r="AQ1023" s="155"/>
      <c r="AR1023" s="155"/>
      <c r="AS1023" s="155"/>
      <c r="AT1023" s="155"/>
      <c r="AU1023" s="155"/>
    </row>
    <row r="1024">
      <c r="A1024" s="155"/>
      <c r="B1024" s="155"/>
      <c r="C1024" s="67"/>
      <c r="D1024" s="67"/>
      <c r="E1024" s="155"/>
      <c r="F1024" s="155"/>
      <c r="G1024" s="155"/>
      <c r="H1024" s="155"/>
      <c r="I1024" s="155"/>
      <c r="J1024" s="155"/>
      <c r="K1024" s="155"/>
      <c r="L1024" s="155"/>
      <c r="M1024" s="155"/>
      <c r="N1024" s="155"/>
      <c r="O1024" s="155"/>
      <c r="P1024" s="155"/>
      <c r="Q1024" s="155"/>
      <c r="R1024" s="155"/>
      <c r="S1024" s="155"/>
      <c r="T1024" s="155"/>
      <c r="U1024" s="155"/>
      <c r="V1024" s="155"/>
      <c r="W1024" s="155"/>
      <c r="X1024" s="155"/>
      <c r="Y1024" s="155"/>
      <c r="Z1024" s="155"/>
      <c r="AA1024" s="155"/>
      <c r="AB1024" s="155"/>
      <c r="AC1024" s="155"/>
      <c r="AD1024" s="155"/>
      <c r="AE1024" s="155"/>
      <c r="AF1024" s="155"/>
      <c r="AG1024" s="155"/>
      <c r="AH1024" s="155"/>
      <c r="AI1024" s="155"/>
      <c r="AJ1024" s="155"/>
      <c r="AK1024" s="155"/>
      <c r="AL1024" s="155"/>
      <c r="AM1024" s="155"/>
      <c r="AN1024" s="155"/>
      <c r="AO1024" s="155"/>
      <c r="AP1024" s="155"/>
      <c r="AQ1024" s="155"/>
      <c r="AR1024" s="155"/>
      <c r="AS1024" s="155"/>
      <c r="AT1024" s="155"/>
      <c r="AU1024" s="155"/>
    </row>
    <row r="1025">
      <c r="A1025" s="155"/>
      <c r="B1025" s="155"/>
      <c r="C1025" s="67"/>
      <c r="D1025" s="67"/>
      <c r="E1025" s="155"/>
      <c r="F1025" s="155"/>
      <c r="G1025" s="155"/>
      <c r="H1025" s="155"/>
      <c r="I1025" s="155"/>
      <c r="J1025" s="155"/>
      <c r="K1025" s="155"/>
      <c r="L1025" s="155"/>
      <c r="M1025" s="155"/>
      <c r="N1025" s="155"/>
      <c r="O1025" s="155"/>
      <c r="P1025" s="155"/>
      <c r="Q1025" s="155"/>
      <c r="R1025" s="155"/>
      <c r="S1025" s="155"/>
      <c r="T1025" s="155"/>
      <c r="U1025" s="155"/>
      <c r="V1025" s="155"/>
      <c r="W1025" s="155"/>
      <c r="X1025" s="155"/>
      <c r="Y1025" s="155"/>
      <c r="Z1025" s="155"/>
      <c r="AA1025" s="155"/>
      <c r="AB1025" s="155"/>
      <c r="AC1025" s="155"/>
      <c r="AD1025" s="155"/>
      <c r="AE1025" s="155"/>
      <c r="AF1025" s="155"/>
      <c r="AG1025" s="155"/>
      <c r="AH1025" s="155"/>
      <c r="AI1025" s="155"/>
      <c r="AJ1025" s="155"/>
      <c r="AK1025" s="155"/>
      <c r="AL1025" s="155"/>
      <c r="AM1025" s="155"/>
      <c r="AN1025" s="155"/>
      <c r="AO1025" s="155"/>
      <c r="AP1025" s="155"/>
      <c r="AQ1025" s="155"/>
      <c r="AR1025" s="155"/>
      <c r="AS1025" s="155"/>
      <c r="AT1025" s="155"/>
      <c r="AU1025" s="155"/>
    </row>
    <row r="1026">
      <c r="A1026" s="155"/>
      <c r="B1026" s="155"/>
      <c r="C1026" s="67"/>
      <c r="D1026" s="67"/>
      <c r="E1026" s="155"/>
      <c r="F1026" s="155"/>
      <c r="G1026" s="155"/>
      <c r="H1026" s="155"/>
      <c r="I1026" s="155"/>
      <c r="J1026" s="155"/>
      <c r="K1026" s="155"/>
      <c r="L1026" s="155"/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  <c r="W1026" s="155"/>
      <c r="X1026" s="155"/>
      <c r="Y1026" s="155"/>
      <c r="Z1026" s="155"/>
      <c r="AA1026" s="155"/>
      <c r="AB1026" s="155"/>
      <c r="AC1026" s="155"/>
      <c r="AD1026" s="155"/>
      <c r="AE1026" s="155"/>
      <c r="AF1026" s="155"/>
      <c r="AG1026" s="155"/>
      <c r="AH1026" s="155"/>
      <c r="AI1026" s="155"/>
      <c r="AJ1026" s="155"/>
      <c r="AK1026" s="155"/>
      <c r="AL1026" s="155"/>
      <c r="AM1026" s="155"/>
      <c r="AN1026" s="155"/>
      <c r="AO1026" s="155"/>
      <c r="AP1026" s="155"/>
      <c r="AQ1026" s="155"/>
      <c r="AR1026" s="155"/>
      <c r="AS1026" s="155"/>
      <c r="AT1026" s="155"/>
      <c r="AU1026" s="155"/>
    </row>
    <row r="1027">
      <c r="A1027" s="155"/>
      <c r="B1027" s="155"/>
      <c r="C1027" s="67"/>
      <c r="D1027" s="67"/>
      <c r="E1027" s="155"/>
      <c r="F1027" s="155"/>
      <c r="G1027" s="155"/>
      <c r="H1027" s="155"/>
      <c r="I1027" s="155"/>
      <c r="J1027" s="155"/>
      <c r="K1027" s="155"/>
      <c r="L1027" s="155"/>
      <c r="M1027" s="155"/>
      <c r="N1027" s="155"/>
      <c r="O1027" s="155"/>
      <c r="P1027" s="155"/>
      <c r="Q1027" s="155"/>
      <c r="R1027" s="155"/>
      <c r="S1027" s="155"/>
      <c r="T1027" s="155"/>
      <c r="U1027" s="155"/>
      <c r="V1027" s="155"/>
      <c r="W1027" s="155"/>
      <c r="X1027" s="155"/>
      <c r="Y1027" s="155"/>
      <c r="Z1027" s="155"/>
      <c r="AA1027" s="155"/>
      <c r="AB1027" s="155"/>
      <c r="AC1027" s="155"/>
      <c r="AD1027" s="155"/>
      <c r="AE1027" s="155"/>
      <c r="AF1027" s="155"/>
      <c r="AG1027" s="155"/>
      <c r="AH1027" s="155"/>
      <c r="AI1027" s="155"/>
      <c r="AJ1027" s="155"/>
      <c r="AK1027" s="155"/>
      <c r="AL1027" s="155"/>
      <c r="AM1027" s="155"/>
      <c r="AN1027" s="155"/>
      <c r="AO1027" s="155"/>
      <c r="AP1027" s="155"/>
      <c r="AQ1027" s="155"/>
      <c r="AR1027" s="155"/>
      <c r="AS1027" s="155"/>
      <c r="AT1027" s="155"/>
      <c r="AU1027" s="155"/>
    </row>
    <row r="1028">
      <c r="A1028" s="155"/>
      <c r="B1028" s="155"/>
      <c r="C1028" s="67"/>
      <c r="D1028" s="67"/>
      <c r="E1028" s="155"/>
      <c r="F1028" s="155"/>
      <c r="G1028" s="155"/>
      <c r="H1028" s="155"/>
      <c r="I1028" s="155"/>
      <c r="J1028" s="155"/>
      <c r="K1028" s="155"/>
      <c r="L1028" s="155"/>
      <c r="M1028" s="155"/>
      <c r="N1028" s="155"/>
      <c r="O1028" s="155"/>
      <c r="P1028" s="155"/>
      <c r="Q1028" s="155"/>
      <c r="R1028" s="155"/>
      <c r="S1028" s="155"/>
      <c r="T1028" s="155"/>
      <c r="U1028" s="155"/>
      <c r="V1028" s="155"/>
      <c r="W1028" s="155"/>
      <c r="X1028" s="155"/>
      <c r="Y1028" s="155"/>
      <c r="Z1028" s="155"/>
      <c r="AA1028" s="155"/>
      <c r="AB1028" s="155"/>
      <c r="AC1028" s="155"/>
      <c r="AD1028" s="155"/>
      <c r="AE1028" s="155"/>
      <c r="AF1028" s="155"/>
      <c r="AG1028" s="155"/>
      <c r="AH1028" s="155"/>
      <c r="AI1028" s="155"/>
      <c r="AJ1028" s="155"/>
      <c r="AK1028" s="155"/>
      <c r="AL1028" s="155"/>
      <c r="AM1028" s="155"/>
      <c r="AN1028" s="155"/>
      <c r="AO1028" s="155"/>
      <c r="AP1028" s="155"/>
      <c r="AQ1028" s="155"/>
      <c r="AR1028" s="155"/>
      <c r="AS1028" s="155"/>
      <c r="AT1028" s="155"/>
      <c r="AU1028" s="155"/>
    </row>
    <row r="1029">
      <c r="A1029" s="155"/>
      <c r="B1029" s="155"/>
      <c r="C1029" s="67"/>
      <c r="D1029" s="67"/>
      <c r="E1029" s="155"/>
      <c r="F1029" s="155"/>
      <c r="G1029" s="155"/>
      <c r="H1029" s="155"/>
      <c r="I1029" s="155"/>
      <c r="J1029" s="155"/>
      <c r="K1029" s="155"/>
      <c r="L1029" s="155"/>
      <c r="M1029" s="155"/>
      <c r="N1029" s="155"/>
      <c r="O1029" s="155"/>
      <c r="P1029" s="155"/>
      <c r="Q1029" s="155"/>
      <c r="R1029" s="155"/>
      <c r="S1029" s="155"/>
      <c r="T1029" s="155"/>
      <c r="U1029" s="155"/>
      <c r="V1029" s="155"/>
      <c r="W1029" s="155"/>
      <c r="X1029" s="155"/>
      <c r="Y1029" s="155"/>
      <c r="Z1029" s="155"/>
      <c r="AA1029" s="155"/>
      <c r="AB1029" s="155"/>
      <c r="AC1029" s="155"/>
      <c r="AD1029" s="155"/>
      <c r="AE1029" s="155"/>
      <c r="AF1029" s="155"/>
      <c r="AG1029" s="155"/>
      <c r="AH1029" s="155"/>
      <c r="AI1029" s="155"/>
      <c r="AJ1029" s="155"/>
      <c r="AK1029" s="155"/>
      <c r="AL1029" s="155"/>
      <c r="AM1029" s="155"/>
      <c r="AN1029" s="155"/>
      <c r="AO1029" s="155"/>
      <c r="AP1029" s="155"/>
      <c r="AQ1029" s="155"/>
      <c r="AR1029" s="155"/>
      <c r="AS1029" s="155"/>
      <c r="AT1029" s="155"/>
      <c r="AU1029" s="155"/>
    </row>
    <row r="1030">
      <c r="A1030" s="155"/>
      <c r="B1030" s="155"/>
      <c r="C1030" s="67"/>
      <c r="D1030" s="67"/>
      <c r="E1030" s="155"/>
      <c r="F1030" s="155"/>
      <c r="G1030" s="155"/>
      <c r="H1030" s="155"/>
      <c r="I1030" s="155"/>
      <c r="J1030" s="155"/>
      <c r="K1030" s="155"/>
      <c r="L1030" s="155"/>
      <c r="M1030" s="155"/>
      <c r="N1030" s="155"/>
      <c r="O1030" s="155"/>
      <c r="P1030" s="155"/>
      <c r="Q1030" s="155"/>
      <c r="R1030" s="155"/>
      <c r="S1030" s="155"/>
      <c r="T1030" s="155"/>
      <c r="U1030" s="155"/>
      <c r="V1030" s="155"/>
      <c r="W1030" s="155"/>
      <c r="X1030" s="155"/>
      <c r="Y1030" s="155"/>
      <c r="Z1030" s="155"/>
      <c r="AA1030" s="155"/>
      <c r="AB1030" s="155"/>
      <c r="AC1030" s="155"/>
      <c r="AD1030" s="155"/>
      <c r="AE1030" s="155"/>
      <c r="AF1030" s="155"/>
      <c r="AG1030" s="155"/>
      <c r="AH1030" s="155"/>
      <c r="AI1030" s="155"/>
      <c r="AJ1030" s="155"/>
      <c r="AK1030" s="155"/>
      <c r="AL1030" s="155"/>
      <c r="AM1030" s="155"/>
      <c r="AN1030" s="155"/>
      <c r="AO1030" s="155"/>
      <c r="AP1030" s="155"/>
      <c r="AQ1030" s="155"/>
      <c r="AR1030" s="155"/>
      <c r="AS1030" s="155"/>
      <c r="AT1030" s="155"/>
      <c r="AU1030" s="155"/>
    </row>
    <row r="1031">
      <c r="A1031" s="155"/>
      <c r="B1031" s="155"/>
      <c r="C1031" s="67"/>
      <c r="D1031" s="67"/>
      <c r="E1031" s="155"/>
      <c r="F1031" s="155"/>
      <c r="G1031" s="155"/>
      <c r="H1031" s="155"/>
      <c r="I1031" s="155"/>
      <c r="J1031" s="155"/>
      <c r="K1031" s="155"/>
      <c r="L1031" s="155"/>
      <c r="M1031" s="155"/>
      <c r="N1031" s="155"/>
      <c r="O1031" s="155"/>
      <c r="P1031" s="155"/>
      <c r="Q1031" s="155"/>
      <c r="R1031" s="155"/>
      <c r="S1031" s="155"/>
      <c r="T1031" s="155"/>
      <c r="U1031" s="155"/>
      <c r="V1031" s="155"/>
      <c r="W1031" s="155"/>
      <c r="X1031" s="155"/>
      <c r="Y1031" s="155"/>
      <c r="Z1031" s="155"/>
      <c r="AA1031" s="155"/>
      <c r="AB1031" s="155"/>
      <c r="AC1031" s="155"/>
      <c r="AD1031" s="155"/>
      <c r="AE1031" s="155"/>
      <c r="AF1031" s="155"/>
      <c r="AG1031" s="155"/>
      <c r="AH1031" s="155"/>
      <c r="AI1031" s="155"/>
      <c r="AJ1031" s="155"/>
      <c r="AK1031" s="155"/>
      <c r="AL1031" s="155"/>
      <c r="AM1031" s="155"/>
      <c r="AN1031" s="155"/>
      <c r="AO1031" s="155"/>
      <c r="AP1031" s="155"/>
      <c r="AQ1031" s="155"/>
      <c r="AR1031" s="155"/>
      <c r="AS1031" s="155"/>
      <c r="AT1031" s="155"/>
      <c r="AU1031" s="155"/>
    </row>
    <row r="1032">
      <c r="A1032" s="155"/>
      <c r="B1032" s="155"/>
      <c r="C1032" s="67"/>
      <c r="D1032" s="67"/>
      <c r="E1032" s="155"/>
      <c r="F1032" s="155"/>
      <c r="G1032" s="155"/>
      <c r="H1032" s="155"/>
      <c r="I1032" s="155"/>
      <c r="J1032" s="155"/>
      <c r="K1032" s="155"/>
      <c r="L1032" s="155"/>
      <c r="M1032" s="155"/>
      <c r="N1032" s="155"/>
      <c r="O1032" s="155"/>
      <c r="P1032" s="155"/>
      <c r="Q1032" s="155"/>
      <c r="R1032" s="155"/>
      <c r="S1032" s="155"/>
      <c r="T1032" s="155"/>
      <c r="U1032" s="155"/>
      <c r="V1032" s="155"/>
      <c r="W1032" s="155"/>
      <c r="X1032" s="155"/>
      <c r="Y1032" s="155"/>
      <c r="Z1032" s="155"/>
      <c r="AA1032" s="155"/>
      <c r="AB1032" s="155"/>
      <c r="AC1032" s="155"/>
      <c r="AD1032" s="155"/>
      <c r="AE1032" s="155"/>
      <c r="AF1032" s="155"/>
      <c r="AG1032" s="155"/>
      <c r="AH1032" s="155"/>
      <c r="AI1032" s="155"/>
      <c r="AJ1032" s="155"/>
      <c r="AK1032" s="155"/>
      <c r="AL1032" s="155"/>
      <c r="AM1032" s="155"/>
      <c r="AN1032" s="155"/>
      <c r="AO1032" s="155"/>
      <c r="AP1032" s="155"/>
      <c r="AQ1032" s="155"/>
      <c r="AR1032" s="155"/>
      <c r="AS1032" s="155"/>
      <c r="AT1032" s="155"/>
      <c r="AU1032" s="155"/>
    </row>
    <row r="1033">
      <c r="A1033" s="155"/>
      <c r="B1033" s="155"/>
      <c r="C1033" s="67"/>
      <c r="D1033" s="67"/>
      <c r="E1033" s="155"/>
      <c r="F1033" s="155"/>
      <c r="G1033" s="155"/>
      <c r="H1033" s="155"/>
      <c r="I1033" s="155"/>
      <c r="J1033" s="155"/>
      <c r="K1033" s="155"/>
      <c r="L1033" s="155"/>
      <c r="M1033" s="155"/>
      <c r="N1033" s="155"/>
      <c r="O1033" s="155"/>
      <c r="P1033" s="155"/>
      <c r="Q1033" s="155"/>
      <c r="R1033" s="155"/>
      <c r="S1033" s="155"/>
      <c r="T1033" s="155"/>
      <c r="U1033" s="155"/>
      <c r="V1033" s="155"/>
      <c r="W1033" s="155"/>
      <c r="X1033" s="155"/>
      <c r="Y1033" s="155"/>
      <c r="Z1033" s="155"/>
      <c r="AA1033" s="155"/>
      <c r="AB1033" s="155"/>
      <c r="AC1033" s="155"/>
      <c r="AD1033" s="155"/>
      <c r="AE1033" s="155"/>
      <c r="AF1033" s="155"/>
      <c r="AG1033" s="155"/>
      <c r="AH1033" s="155"/>
      <c r="AI1033" s="155"/>
      <c r="AJ1033" s="155"/>
      <c r="AK1033" s="155"/>
      <c r="AL1033" s="155"/>
      <c r="AM1033" s="155"/>
      <c r="AN1033" s="155"/>
      <c r="AO1033" s="155"/>
      <c r="AP1033" s="155"/>
      <c r="AQ1033" s="155"/>
      <c r="AR1033" s="155"/>
      <c r="AS1033" s="155"/>
      <c r="AT1033" s="155"/>
      <c r="AU1033" s="155"/>
    </row>
    <row r="1034">
      <c r="A1034" s="155"/>
      <c r="B1034" s="155"/>
      <c r="C1034" s="67"/>
      <c r="D1034" s="67"/>
      <c r="E1034" s="155"/>
      <c r="F1034" s="155"/>
      <c r="G1034" s="155"/>
      <c r="H1034" s="155"/>
      <c r="I1034" s="155"/>
      <c r="J1034" s="155"/>
      <c r="K1034" s="155"/>
      <c r="L1034" s="155"/>
      <c r="M1034" s="155"/>
      <c r="N1034" s="155"/>
      <c r="O1034" s="155"/>
      <c r="P1034" s="155"/>
      <c r="Q1034" s="155"/>
      <c r="R1034" s="155"/>
      <c r="S1034" s="155"/>
      <c r="T1034" s="155"/>
      <c r="U1034" s="155"/>
      <c r="V1034" s="155"/>
      <c r="W1034" s="155"/>
      <c r="X1034" s="155"/>
      <c r="Y1034" s="155"/>
      <c r="Z1034" s="155"/>
      <c r="AA1034" s="155"/>
      <c r="AB1034" s="155"/>
      <c r="AC1034" s="155"/>
      <c r="AD1034" s="155"/>
      <c r="AE1034" s="155"/>
      <c r="AF1034" s="155"/>
      <c r="AG1034" s="155"/>
      <c r="AH1034" s="155"/>
      <c r="AI1034" s="155"/>
      <c r="AJ1034" s="155"/>
      <c r="AK1034" s="155"/>
      <c r="AL1034" s="155"/>
      <c r="AM1034" s="155"/>
      <c r="AN1034" s="155"/>
      <c r="AO1034" s="155"/>
      <c r="AP1034" s="155"/>
      <c r="AQ1034" s="155"/>
      <c r="AR1034" s="155"/>
      <c r="AS1034" s="155"/>
      <c r="AT1034" s="155"/>
      <c r="AU1034" s="155"/>
    </row>
  </sheetData>
  <mergeCells count="201">
    <mergeCell ref="T42:U42"/>
    <mergeCell ref="V42:X42"/>
    <mergeCell ref="X53:X57"/>
    <mergeCell ref="X60:X64"/>
    <mergeCell ref="X67:X71"/>
    <mergeCell ref="X74:X78"/>
    <mergeCell ref="A33:A39"/>
    <mergeCell ref="B33:B39"/>
    <mergeCell ref="X33:X37"/>
    <mergeCell ref="C38:L39"/>
    <mergeCell ref="A42:F42"/>
    <mergeCell ref="G42:L42"/>
    <mergeCell ref="N42:O42"/>
    <mergeCell ref="Y43:Z43"/>
    <mergeCell ref="AA43:AB43"/>
    <mergeCell ref="AC43:AD43"/>
    <mergeCell ref="AI53:AI57"/>
    <mergeCell ref="AI60:AI64"/>
    <mergeCell ref="AI67:AI71"/>
    <mergeCell ref="AI74:AI78"/>
    <mergeCell ref="G43:L43"/>
    <mergeCell ref="E45:L45"/>
    <mergeCell ref="N46:AD46"/>
    <mergeCell ref="N47:AD47"/>
    <mergeCell ref="N48:AD48"/>
    <mergeCell ref="A43:F43"/>
    <mergeCell ref="N43:O43"/>
    <mergeCell ref="P43:Q43"/>
    <mergeCell ref="R43:S43"/>
    <mergeCell ref="T43:U43"/>
    <mergeCell ref="V43:X43"/>
    <mergeCell ref="N45:AD45"/>
    <mergeCell ref="A45:D48"/>
    <mergeCell ref="E46:L46"/>
    <mergeCell ref="E47:L47"/>
    <mergeCell ref="E48:L48"/>
    <mergeCell ref="A50:A52"/>
    <mergeCell ref="D50:D52"/>
    <mergeCell ref="H50:H52"/>
    <mergeCell ref="B67:B73"/>
    <mergeCell ref="C72:L73"/>
    <mergeCell ref="A53:A59"/>
    <mergeCell ref="B53:B59"/>
    <mergeCell ref="C58:L59"/>
    <mergeCell ref="A60:A66"/>
    <mergeCell ref="B60:B66"/>
    <mergeCell ref="C65:L66"/>
    <mergeCell ref="A67:A73"/>
    <mergeCell ref="R83:S83"/>
    <mergeCell ref="T83:U83"/>
    <mergeCell ref="V83:X83"/>
    <mergeCell ref="Y83:Z83"/>
    <mergeCell ref="AA83:AB83"/>
    <mergeCell ref="AC83:AD83"/>
    <mergeCell ref="A84:F84"/>
    <mergeCell ref="G84:L84"/>
    <mergeCell ref="N84:O84"/>
    <mergeCell ref="P84:Q84"/>
    <mergeCell ref="R84:S84"/>
    <mergeCell ref="T84:U84"/>
    <mergeCell ref="V84:X84"/>
    <mergeCell ref="A74:A80"/>
    <mergeCell ref="A91:A93"/>
    <mergeCell ref="A101:A107"/>
    <mergeCell ref="B101:B107"/>
    <mergeCell ref="A108:A114"/>
    <mergeCell ref="B108:B114"/>
    <mergeCell ref="A115:A121"/>
    <mergeCell ref="B115:B121"/>
    <mergeCell ref="AI91:AI93"/>
    <mergeCell ref="AI94:AI98"/>
    <mergeCell ref="X101:X105"/>
    <mergeCell ref="AI101:AI105"/>
    <mergeCell ref="X108:X112"/>
    <mergeCell ref="AI108:AI112"/>
    <mergeCell ref="X115:X119"/>
    <mergeCell ref="AI115:AI119"/>
    <mergeCell ref="C106:L107"/>
    <mergeCell ref="C113:L114"/>
    <mergeCell ref="C120:L121"/>
    <mergeCell ref="E87:L87"/>
    <mergeCell ref="E88:L88"/>
    <mergeCell ref="D91:D93"/>
    <mergeCell ref="H91:H93"/>
    <mergeCell ref="J91:J93"/>
    <mergeCell ref="L91:L93"/>
    <mergeCell ref="M91:M93"/>
    <mergeCell ref="N9:W9"/>
    <mergeCell ref="N10:W10"/>
    <mergeCell ref="AJ9:AS9"/>
    <mergeCell ref="AJ10:AS10"/>
    <mergeCell ref="AT12:AT16"/>
    <mergeCell ref="AT19:AT23"/>
    <mergeCell ref="AT26:AT30"/>
    <mergeCell ref="AT33:AT37"/>
    <mergeCell ref="J9:J11"/>
    <mergeCell ref="L9:L11"/>
    <mergeCell ref="M9:M11"/>
    <mergeCell ref="X9:X11"/>
    <mergeCell ref="Y9:AH9"/>
    <mergeCell ref="AI9:AI11"/>
    <mergeCell ref="Y10:AH10"/>
    <mergeCell ref="AI19:AI23"/>
    <mergeCell ref="AI26:AI30"/>
    <mergeCell ref="AI33:AI37"/>
    <mergeCell ref="Y2:Z2"/>
    <mergeCell ref="AA2:AB2"/>
    <mergeCell ref="AC2:AD2"/>
    <mergeCell ref="X12:X16"/>
    <mergeCell ref="AI12:AI16"/>
    <mergeCell ref="X19:X23"/>
    <mergeCell ref="X26:X30"/>
    <mergeCell ref="B26:B32"/>
    <mergeCell ref="C31:L32"/>
    <mergeCell ref="A12:A18"/>
    <mergeCell ref="B12:B18"/>
    <mergeCell ref="C17:L18"/>
    <mergeCell ref="A19:A25"/>
    <mergeCell ref="B19:B25"/>
    <mergeCell ref="C24:L25"/>
    <mergeCell ref="A26:A32"/>
    <mergeCell ref="Y1:Z1"/>
    <mergeCell ref="AA1:AB1"/>
    <mergeCell ref="AC1:AD1"/>
    <mergeCell ref="A1:F1"/>
    <mergeCell ref="G1:L1"/>
    <mergeCell ref="N1:O1"/>
    <mergeCell ref="P1:Q1"/>
    <mergeCell ref="R1:S1"/>
    <mergeCell ref="T1:U1"/>
    <mergeCell ref="V1:X1"/>
    <mergeCell ref="G2:L2"/>
    <mergeCell ref="E4:M4"/>
    <mergeCell ref="N5:AD5"/>
    <mergeCell ref="N6:AD6"/>
    <mergeCell ref="N7:AD7"/>
    <mergeCell ref="A2:F2"/>
    <mergeCell ref="N2:O2"/>
    <mergeCell ref="P2:Q2"/>
    <mergeCell ref="R2:S2"/>
    <mergeCell ref="T2:U2"/>
    <mergeCell ref="V2:X2"/>
    <mergeCell ref="N4:AD4"/>
    <mergeCell ref="A4:D7"/>
    <mergeCell ref="E5:L5"/>
    <mergeCell ref="E6:L6"/>
    <mergeCell ref="E7:L7"/>
    <mergeCell ref="A9:A11"/>
    <mergeCell ref="D9:D11"/>
    <mergeCell ref="H9:H11"/>
    <mergeCell ref="P42:Q42"/>
    <mergeCell ref="R42:S42"/>
    <mergeCell ref="Y42:Z42"/>
    <mergeCell ref="AA42:AB42"/>
    <mergeCell ref="AC42:AD42"/>
    <mergeCell ref="N50:W50"/>
    <mergeCell ref="N51:W51"/>
    <mergeCell ref="AJ50:AS50"/>
    <mergeCell ref="AJ51:AS51"/>
    <mergeCell ref="AT53:AT57"/>
    <mergeCell ref="AT60:AT64"/>
    <mergeCell ref="AT67:AT71"/>
    <mergeCell ref="AT74:AT78"/>
    <mergeCell ref="J50:J52"/>
    <mergeCell ref="L50:L52"/>
    <mergeCell ref="M50:M52"/>
    <mergeCell ref="X50:X52"/>
    <mergeCell ref="Y50:AH50"/>
    <mergeCell ref="AI50:AI52"/>
    <mergeCell ref="Y51:AH51"/>
    <mergeCell ref="G83:L83"/>
    <mergeCell ref="E86:L86"/>
    <mergeCell ref="A94:A100"/>
    <mergeCell ref="B94:B100"/>
    <mergeCell ref="X94:X98"/>
    <mergeCell ref="C99:L100"/>
    <mergeCell ref="B74:B80"/>
    <mergeCell ref="C79:L80"/>
    <mergeCell ref="A83:F83"/>
    <mergeCell ref="N83:O83"/>
    <mergeCell ref="P83:Q83"/>
    <mergeCell ref="A86:D89"/>
    <mergeCell ref="E89:L89"/>
    <mergeCell ref="Y84:Z84"/>
    <mergeCell ref="AA84:AB84"/>
    <mergeCell ref="AC84:AD84"/>
    <mergeCell ref="N86:AD86"/>
    <mergeCell ref="N87:AD87"/>
    <mergeCell ref="N88:AD88"/>
    <mergeCell ref="N89:AD89"/>
    <mergeCell ref="AT94:AT98"/>
    <mergeCell ref="AT101:AT105"/>
    <mergeCell ref="AT108:AT112"/>
    <mergeCell ref="AT115:AT119"/>
    <mergeCell ref="N91:W91"/>
    <mergeCell ref="X91:X93"/>
    <mergeCell ref="Y91:AH91"/>
    <mergeCell ref="AJ91:AS91"/>
    <mergeCell ref="N92:W92"/>
    <mergeCell ref="Y92:AH92"/>
    <mergeCell ref="AJ92:AS92"/>
  </mergeCells>
  <dataValidations>
    <dataValidation type="list" allowBlank="1" showErrorMessage="1" sqref="G12:G14 I12:I14 G19:G21 I19:I21 G26:G28 I26:I28 G33:G35 I33:I35 G53:G56 I53:I56 K53:K57 G60:G63 I60:I63 K60:K64 G67:G70 I67:I70 K67:K71 G74:G77 I74:I77 K74:K78 G94:G97 I94:I97 G101:G102 I102 G108:G109 K108:K112 G115:G116 I116">
      <formula1>"80%,85%,90%,95%,100%,105%,110%"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5" width="3.5"/>
  </cols>
  <sheetData>
    <row r="1">
      <c r="A1" s="317" t="s">
        <v>0</v>
      </c>
      <c r="B1" s="62"/>
      <c r="C1" s="62"/>
      <c r="D1" s="62"/>
      <c r="E1" s="62"/>
      <c r="F1" s="62"/>
      <c r="G1" s="62"/>
      <c r="H1" s="318" t="s">
        <v>79</v>
      </c>
      <c r="I1" s="62"/>
      <c r="J1" s="62"/>
      <c r="K1" s="62"/>
      <c r="L1" s="63"/>
      <c r="M1" s="187" t="s">
        <v>6</v>
      </c>
      <c r="N1" s="62"/>
      <c r="O1" s="178" t="s">
        <v>80</v>
      </c>
      <c r="P1" s="62"/>
      <c r="Q1" s="178" t="s">
        <v>81</v>
      </c>
      <c r="R1" s="62"/>
      <c r="S1" s="178" t="s">
        <v>82</v>
      </c>
      <c r="T1" s="62"/>
      <c r="U1" s="178" t="s">
        <v>83</v>
      </c>
      <c r="V1" s="63"/>
      <c r="W1" s="178" t="s">
        <v>32</v>
      </c>
      <c r="X1" s="63"/>
      <c r="Y1" s="178" t="s">
        <v>84</v>
      </c>
      <c r="Z1" s="63"/>
      <c r="AA1" s="178">
        <v>8190.0</v>
      </c>
      <c r="AB1" s="63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</row>
    <row r="2">
      <c r="A2" s="319" t="str">
        <f>Input!B2</f>
        <v>Kateřina Balášová</v>
      </c>
      <c r="B2" s="162"/>
      <c r="C2" s="162"/>
      <c r="D2" s="162"/>
      <c r="E2" s="162"/>
      <c r="F2" s="162"/>
      <c r="G2" s="162"/>
      <c r="H2" s="320" t="str">
        <f>Input!B3</f>
        <v>squat</v>
      </c>
      <c r="I2" s="62"/>
      <c r="J2" s="62"/>
      <c r="K2" s="62"/>
      <c r="L2" s="63"/>
      <c r="M2" s="321">
        <f>Input!B5</f>
        <v>140</v>
      </c>
      <c r="N2" s="62"/>
      <c r="O2" s="322">
        <f>Input!B6</f>
        <v>2.5</v>
      </c>
      <c r="P2" s="62"/>
      <c r="Q2" s="323" t="str">
        <f>Input!B4</f>
        <v>prep</v>
      </c>
      <c r="R2" s="62"/>
      <c r="S2" s="323">
        <f>Input!B9</f>
        <v>220</v>
      </c>
      <c r="T2" s="62"/>
      <c r="U2" s="323">
        <f>Input!E16+Input!E17</f>
        <v>3</v>
      </c>
      <c r="V2" s="63"/>
      <c r="W2" s="324">
        <f>Input!B19</f>
        <v>0.7303246753</v>
      </c>
      <c r="X2" s="63"/>
      <c r="Y2" s="323" t="str">
        <f>Input!B21</f>
        <v>3a</v>
      </c>
      <c r="Z2" s="63"/>
      <c r="AA2" s="323" t="str">
        <f>Input!B22</f>
        <v>2a</v>
      </c>
      <c r="AB2" s="63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272"/>
      <c r="BG2" s="272"/>
      <c r="BH2" s="272"/>
      <c r="BI2" s="272"/>
      <c r="BJ2" s="272"/>
      <c r="BK2" s="272"/>
      <c r="BL2" s="272"/>
      <c r="BM2" s="272"/>
    </row>
    <row r="3">
      <c r="A3" s="165"/>
      <c r="H3" s="320" t="str">
        <f>Input!B49</f>
        <v>bench press</v>
      </c>
      <c r="I3" s="62"/>
      <c r="J3" s="62"/>
      <c r="K3" s="62"/>
      <c r="L3" s="63"/>
      <c r="M3" s="321">
        <f>Input!B51</f>
        <v>77.5</v>
      </c>
      <c r="N3" s="62"/>
      <c r="O3" s="322">
        <f>Input!B52</f>
        <v>2.5</v>
      </c>
      <c r="P3" s="62"/>
      <c r="Q3" s="323" t="str">
        <f>Input!B50</f>
        <v>prep</v>
      </c>
      <c r="R3" s="62"/>
      <c r="S3" s="325">
        <f>Input!B53</f>
        <v>250</v>
      </c>
      <c r="T3" s="62"/>
      <c r="U3" s="323">
        <f>Input!E62+Input!E63</f>
        <v>5</v>
      </c>
      <c r="V3" s="63"/>
      <c r="W3" s="324">
        <f>Input!B65</f>
        <v>0.7701290323</v>
      </c>
      <c r="X3" s="63"/>
      <c r="Y3" s="323" t="str">
        <f>Input!B67</f>
        <v>2a</v>
      </c>
      <c r="Z3" s="63"/>
      <c r="AA3" s="323" t="str">
        <f>Input!B68</f>
        <v>1-3a</v>
      </c>
      <c r="AB3" s="63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272"/>
      <c r="AU3" s="272"/>
      <c r="AV3" s="272"/>
      <c r="AW3" s="272"/>
      <c r="AX3" s="272"/>
      <c r="AY3" s="272"/>
      <c r="AZ3" s="272"/>
      <c r="BA3" s="272"/>
      <c r="BB3" s="272"/>
      <c r="BC3" s="272"/>
      <c r="BD3" s="272"/>
      <c r="BE3" s="272"/>
      <c r="BF3" s="272"/>
      <c r="BG3" s="272"/>
      <c r="BH3" s="272"/>
      <c r="BI3" s="272"/>
      <c r="BJ3" s="272"/>
      <c r="BK3" s="272"/>
      <c r="BL3" s="272"/>
      <c r="BM3" s="272"/>
    </row>
    <row r="4">
      <c r="A4" s="171"/>
      <c r="B4" s="137"/>
      <c r="C4" s="137"/>
      <c r="D4" s="137"/>
      <c r="E4" s="137"/>
      <c r="F4" s="137"/>
      <c r="G4" s="137"/>
      <c r="H4" s="320" t="str">
        <f>Input!B95</f>
        <v>deadlift</v>
      </c>
      <c r="I4" s="62"/>
      <c r="J4" s="62"/>
      <c r="K4" s="62"/>
      <c r="L4" s="63"/>
      <c r="M4" s="321">
        <f>Input!B98</f>
        <v>165</v>
      </c>
      <c r="N4" s="62"/>
      <c r="O4" s="322">
        <f>Input!B99</f>
        <v>2.5</v>
      </c>
      <c r="P4" s="62"/>
      <c r="Q4" s="323" t="str">
        <f>Input!B97</f>
        <v>prep</v>
      </c>
      <c r="R4" s="62"/>
      <c r="S4" s="323">
        <f>Input!B102</f>
        <v>180</v>
      </c>
      <c r="T4" s="62"/>
      <c r="U4" s="323">
        <f>Input!E109+Input!E110</f>
        <v>2</v>
      </c>
      <c r="V4" s="63"/>
      <c r="W4" s="324">
        <f>Input!B112</f>
        <v>0.7504377104</v>
      </c>
      <c r="X4" s="63"/>
      <c r="Y4" s="323" t="str">
        <f>Input!B114</f>
        <v>4-2a</v>
      </c>
      <c r="Z4" s="63"/>
      <c r="AA4" s="323" t="str">
        <f>Input!B115</f>
        <v>3c</v>
      </c>
      <c r="AB4" s="63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2"/>
    </row>
    <row r="5">
      <c r="A5" s="326"/>
      <c r="B5" s="327"/>
      <c r="C5" s="327"/>
      <c r="D5" s="327"/>
      <c r="E5" s="327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272"/>
      <c r="AZ5" s="272"/>
      <c r="BA5" s="272"/>
      <c r="BB5" s="272"/>
      <c r="BC5" s="272"/>
      <c r="BD5" s="272"/>
      <c r="BE5" s="272"/>
      <c r="BF5" s="272"/>
      <c r="BG5" s="272"/>
      <c r="BH5" s="272"/>
      <c r="BI5" s="272"/>
      <c r="BJ5" s="272"/>
      <c r="BK5" s="272"/>
      <c r="BL5" s="272"/>
      <c r="BM5" s="272"/>
    </row>
    <row r="6">
      <c r="A6" s="326"/>
      <c r="B6" s="327"/>
      <c r="C6" s="327"/>
      <c r="D6" s="327"/>
      <c r="E6" s="327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  <c r="AL6" s="272"/>
      <c r="AM6" s="272"/>
      <c r="AN6" s="272"/>
      <c r="AO6" s="272"/>
      <c r="AP6" s="272"/>
      <c r="AQ6" s="272"/>
      <c r="AR6" s="272"/>
      <c r="AS6" s="272"/>
      <c r="AT6" s="272"/>
      <c r="AU6" s="272"/>
      <c r="AV6" s="272"/>
      <c r="AW6" s="272"/>
      <c r="AX6" s="272"/>
      <c r="AY6" s="272"/>
      <c r="AZ6" s="272"/>
      <c r="BA6" s="272"/>
      <c r="BB6" s="272"/>
      <c r="BC6" s="272"/>
      <c r="BD6" s="272"/>
      <c r="BE6" s="272"/>
      <c r="BF6" s="272"/>
      <c r="BG6" s="272"/>
      <c r="BH6" s="272"/>
      <c r="BI6" s="272"/>
      <c r="BJ6" s="272"/>
      <c r="BK6" s="272"/>
      <c r="BL6" s="272"/>
      <c r="BM6" s="272"/>
    </row>
    <row r="7">
      <c r="A7" s="328"/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272"/>
      <c r="AD7" s="272"/>
      <c r="AE7" s="272"/>
      <c r="AF7" s="272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272"/>
      <c r="BG7" s="272"/>
      <c r="BH7" s="272"/>
      <c r="BI7" s="272"/>
      <c r="BJ7" s="272"/>
      <c r="BK7" s="272"/>
      <c r="BL7" s="272"/>
      <c r="BM7" s="272"/>
    </row>
    <row r="8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272"/>
      <c r="AD8" s="272"/>
      <c r="AE8" s="272"/>
      <c r="AF8" s="272"/>
      <c r="AG8" s="272"/>
      <c r="AH8" s="272"/>
      <c r="AI8" s="272"/>
      <c r="AJ8" s="272"/>
      <c r="AK8" s="272"/>
      <c r="AL8" s="272"/>
      <c r="AM8" s="272"/>
      <c r="AN8" s="272"/>
      <c r="AO8" s="272"/>
      <c r="AP8" s="272"/>
      <c r="AQ8" s="272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272"/>
      <c r="BG8" s="272"/>
      <c r="BH8" s="272"/>
      <c r="BI8" s="272"/>
      <c r="BJ8" s="272"/>
      <c r="BK8" s="272"/>
      <c r="BL8" s="272"/>
      <c r="BM8" s="272"/>
    </row>
    <row r="9">
      <c r="A9" s="328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2"/>
      <c r="BM9" s="272"/>
    </row>
    <row r="10">
      <c r="A10" s="328"/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2"/>
      <c r="BJ10" s="272"/>
      <c r="BK10" s="272"/>
      <c r="BL10" s="272"/>
      <c r="BM10" s="272"/>
    </row>
    <row r="11">
      <c r="A11" s="176"/>
      <c r="B11" s="176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76"/>
      <c r="N11" s="272"/>
      <c r="O11" s="149"/>
      <c r="P11" s="149"/>
      <c r="Q11" s="149"/>
      <c r="R11" s="149"/>
      <c r="S11" s="149"/>
      <c r="T11" s="149"/>
      <c r="U11" s="149"/>
      <c r="V11" s="149"/>
      <c r="W11" s="329" t="s">
        <v>118</v>
      </c>
      <c r="X11" s="62"/>
      <c r="Y11" s="62"/>
      <c r="Z11" s="62"/>
      <c r="AA11" s="62"/>
      <c r="AB11" s="62"/>
      <c r="AC11" s="62"/>
      <c r="AD11" s="62"/>
      <c r="AE11" s="62"/>
      <c r="AF11" s="63"/>
      <c r="AG11" s="330"/>
      <c r="AH11" s="329" t="s">
        <v>119</v>
      </c>
      <c r="AI11" s="62"/>
      <c r="AJ11" s="62"/>
      <c r="AK11" s="62"/>
      <c r="AL11" s="62"/>
      <c r="AM11" s="62"/>
      <c r="AN11" s="62"/>
      <c r="AO11" s="62"/>
      <c r="AP11" s="62"/>
      <c r="AQ11" s="63"/>
      <c r="AR11" s="330"/>
      <c r="AS11" s="329" t="s">
        <v>120</v>
      </c>
      <c r="AT11" s="62"/>
      <c r="AU11" s="62"/>
      <c r="AV11" s="62"/>
      <c r="AW11" s="62"/>
      <c r="AX11" s="62"/>
      <c r="AY11" s="62"/>
      <c r="AZ11" s="62"/>
      <c r="BA11" s="62"/>
      <c r="BB11" s="63"/>
      <c r="BC11" s="330"/>
      <c r="BD11" s="329" t="s">
        <v>121</v>
      </c>
      <c r="BE11" s="62"/>
      <c r="BF11" s="62"/>
      <c r="BG11" s="62"/>
      <c r="BH11" s="62"/>
      <c r="BI11" s="62"/>
      <c r="BJ11" s="62"/>
      <c r="BK11" s="62"/>
      <c r="BL11" s="62"/>
      <c r="BM11" s="63"/>
    </row>
    <row r="12">
      <c r="A12" s="183" t="s">
        <v>122</v>
      </c>
      <c r="B12" s="163"/>
      <c r="C12" s="183" t="s">
        <v>79</v>
      </c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3"/>
      <c r="O12" s="183" t="s">
        <v>123</v>
      </c>
      <c r="P12" s="162"/>
      <c r="Q12" s="162"/>
      <c r="R12" s="162"/>
      <c r="S12" s="162"/>
      <c r="T12" s="162"/>
      <c r="U12" s="162"/>
      <c r="V12" s="163"/>
      <c r="W12" s="183" t="s">
        <v>96</v>
      </c>
      <c r="X12" s="162"/>
      <c r="Y12" s="162"/>
      <c r="Z12" s="162"/>
      <c r="AA12" s="162"/>
      <c r="AB12" s="162"/>
      <c r="AC12" s="162"/>
      <c r="AD12" s="162"/>
      <c r="AE12" s="162"/>
      <c r="AF12" s="163"/>
      <c r="AG12" s="331"/>
      <c r="AH12" s="183" t="s">
        <v>96</v>
      </c>
      <c r="AI12" s="162"/>
      <c r="AJ12" s="162"/>
      <c r="AK12" s="162"/>
      <c r="AL12" s="162"/>
      <c r="AM12" s="162"/>
      <c r="AN12" s="162"/>
      <c r="AO12" s="162"/>
      <c r="AP12" s="162"/>
      <c r="AQ12" s="163"/>
      <c r="AR12" s="331"/>
      <c r="AS12" s="183" t="s">
        <v>96</v>
      </c>
      <c r="AT12" s="162"/>
      <c r="AU12" s="162"/>
      <c r="AV12" s="162"/>
      <c r="AW12" s="162"/>
      <c r="AX12" s="162"/>
      <c r="AY12" s="162"/>
      <c r="AZ12" s="162"/>
      <c r="BA12" s="162"/>
      <c r="BB12" s="163"/>
      <c r="BC12" s="331"/>
      <c r="BD12" s="183" t="s">
        <v>96</v>
      </c>
      <c r="BE12" s="162"/>
      <c r="BF12" s="162"/>
      <c r="BG12" s="162"/>
      <c r="BH12" s="162"/>
      <c r="BI12" s="162"/>
      <c r="BJ12" s="162"/>
      <c r="BK12" s="162"/>
      <c r="BL12" s="162"/>
      <c r="BM12" s="163"/>
    </row>
    <row r="13">
      <c r="A13" s="171"/>
      <c r="B13" s="138"/>
      <c r="C13" s="171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8"/>
      <c r="O13" s="171"/>
      <c r="P13" s="137"/>
      <c r="Q13" s="137"/>
      <c r="R13" s="137"/>
      <c r="S13" s="137"/>
      <c r="T13" s="137"/>
      <c r="U13" s="137"/>
      <c r="V13" s="138"/>
      <c r="W13" s="178" t="s">
        <v>100</v>
      </c>
      <c r="X13" s="187" t="s">
        <v>101</v>
      </c>
      <c r="Y13" s="187" t="s">
        <v>102</v>
      </c>
      <c r="Z13" s="187" t="s">
        <v>103</v>
      </c>
      <c r="AA13" s="187" t="s">
        <v>104</v>
      </c>
      <c r="AB13" s="187" t="s">
        <v>105</v>
      </c>
      <c r="AC13" s="187" t="s">
        <v>106</v>
      </c>
      <c r="AD13" s="187" t="s">
        <v>107</v>
      </c>
      <c r="AE13" s="187" t="s">
        <v>108</v>
      </c>
      <c r="AF13" s="188" t="s">
        <v>109</v>
      </c>
      <c r="AG13" s="331"/>
      <c r="AH13" s="178" t="s">
        <v>100</v>
      </c>
      <c r="AI13" s="187" t="s">
        <v>101</v>
      </c>
      <c r="AJ13" s="187" t="s">
        <v>102</v>
      </c>
      <c r="AK13" s="187" t="s">
        <v>103</v>
      </c>
      <c r="AL13" s="187" t="s">
        <v>104</v>
      </c>
      <c r="AM13" s="187" t="s">
        <v>105</v>
      </c>
      <c r="AN13" s="187" t="s">
        <v>106</v>
      </c>
      <c r="AO13" s="187" t="s">
        <v>107</v>
      </c>
      <c r="AP13" s="187" t="s">
        <v>108</v>
      </c>
      <c r="AQ13" s="188" t="s">
        <v>109</v>
      </c>
      <c r="AR13" s="331"/>
      <c r="AS13" s="178" t="s">
        <v>100</v>
      </c>
      <c r="AT13" s="187" t="s">
        <v>101</v>
      </c>
      <c r="AU13" s="187" t="s">
        <v>102</v>
      </c>
      <c r="AV13" s="187" t="s">
        <v>103</v>
      </c>
      <c r="AW13" s="187" t="s">
        <v>104</v>
      </c>
      <c r="AX13" s="187" t="s">
        <v>105</v>
      </c>
      <c r="AY13" s="187" t="s">
        <v>106</v>
      </c>
      <c r="AZ13" s="187" t="s">
        <v>107</v>
      </c>
      <c r="BA13" s="187" t="s">
        <v>108</v>
      </c>
      <c r="BB13" s="188" t="s">
        <v>109</v>
      </c>
      <c r="BC13" s="331"/>
      <c r="BD13" s="178" t="s">
        <v>100</v>
      </c>
      <c r="BE13" s="187" t="s">
        <v>101</v>
      </c>
      <c r="BF13" s="187" t="s">
        <v>102</v>
      </c>
      <c r="BG13" s="187" t="s">
        <v>103</v>
      </c>
      <c r="BH13" s="187" t="s">
        <v>104</v>
      </c>
      <c r="BI13" s="187" t="s">
        <v>105</v>
      </c>
      <c r="BJ13" s="187" t="s">
        <v>106</v>
      </c>
      <c r="BK13" s="187" t="s">
        <v>107</v>
      </c>
      <c r="BL13" s="187" t="s">
        <v>108</v>
      </c>
      <c r="BM13" s="188" t="s">
        <v>109</v>
      </c>
    </row>
    <row r="14">
      <c r="A14" s="332" t="s">
        <v>124</v>
      </c>
      <c r="B14" s="163"/>
      <c r="C14" s="333" t="s">
        <v>3</v>
      </c>
      <c r="D14" s="162"/>
      <c r="E14" s="163"/>
      <c r="F14" s="334" t="s">
        <v>86</v>
      </c>
      <c r="G14" s="62"/>
      <c r="H14" s="62"/>
      <c r="I14" s="62"/>
      <c r="J14" s="62"/>
      <c r="K14" s="62"/>
      <c r="L14" s="62"/>
      <c r="M14" s="62"/>
      <c r="N14" s="63"/>
      <c r="O14" s="335">
        <v>90.0</v>
      </c>
      <c r="P14" s="163"/>
      <c r="Q14" s="336">
        <v>80.0</v>
      </c>
      <c r="R14" s="163"/>
      <c r="S14" s="337">
        <v>80.0</v>
      </c>
      <c r="T14" s="163"/>
      <c r="U14" s="338"/>
      <c r="V14" s="163"/>
      <c r="W14" s="180">
        <v>5.0</v>
      </c>
      <c r="X14" s="180"/>
      <c r="Y14" s="180"/>
      <c r="Z14" s="180"/>
      <c r="AA14" s="180"/>
      <c r="AB14" s="176"/>
      <c r="AC14" s="176"/>
      <c r="AD14" s="176"/>
      <c r="AE14" s="176"/>
      <c r="AF14" s="176"/>
      <c r="AG14" s="331"/>
      <c r="AH14" s="238">
        <v>5.0</v>
      </c>
      <c r="AI14" s="238">
        <v>5.0</v>
      </c>
      <c r="AJ14" s="180"/>
      <c r="AK14" s="180"/>
      <c r="AL14" s="180"/>
      <c r="AM14" s="176"/>
      <c r="AN14" s="176"/>
      <c r="AO14" s="176"/>
      <c r="AP14" s="176"/>
      <c r="AQ14" s="176"/>
      <c r="AR14" s="331"/>
      <c r="AS14" s="180"/>
      <c r="AT14" s="176"/>
      <c r="AU14" s="180"/>
      <c r="AV14" s="180"/>
      <c r="AW14" s="176"/>
      <c r="AX14" s="176"/>
      <c r="AY14" s="176"/>
      <c r="AZ14" s="176"/>
      <c r="BA14" s="176"/>
      <c r="BB14" s="176"/>
      <c r="BC14" s="331"/>
      <c r="BD14" s="180"/>
      <c r="BE14" s="176"/>
      <c r="BF14" s="180"/>
      <c r="BG14" s="180"/>
      <c r="BH14" s="180"/>
      <c r="BI14" s="176"/>
      <c r="BJ14" s="176"/>
      <c r="BK14" s="176"/>
      <c r="BL14" s="176"/>
      <c r="BM14" s="176"/>
    </row>
    <row r="15">
      <c r="A15" s="165"/>
      <c r="B15" s="166"/>
      <c r="C15" s="165"/>
      <c r="E15" s="166"/>
      <c r="F15" s="339" t="s">
        <v>87</v>
      </c>
      <c r="G15" s="162"/>
      <c r="H15" s="162"/>
      <c r="I15" s="162"/>
      <c r="J15" s="162"/>
      <c r="K15" s="162"/>
      <c r="L15" s="162"/>
      <c r="M15" s="162"/>
      <c r="N15" s="163"/>
      <c r="O15" s="335">
        <v>105.0</v>
      </c>
      <c r="P15" s="163"/>
      <c r="Q15" s="336">
        <v>95.0</v>
      </c>
      <c r="R15" s="163"/>
      <c r="S15" s="337">
        <v>95.0</v>
      </c>
      <c r="T15" s="163"/>
      <c r="U15" s="338"/>
      <c r="V15" s="163"/>
      <c r="W15" s="176"/>
      <c r="X15" s="180">
        <v>4.0</v>
      </c>
      <c r="Y15" s="180"/>
      <c r="Z15" s="180"/>
      <c r="AA15" s="176"/>
      <c r="AB15" s="176"/>
      <c r="AC15" s="176"/>
      <c r="AD15" s="176"/>
      <c r="AE15" s="176"/>
      <c r="AF15" s="176"/>
      <c r="AG15" s="331"/>
      <c r="AH15" s="176"/>
      <c r="AI15" s="243"/>
      <c r="AJ15" s="238">
        <v>2.0</v>
      </c>
      <c r="AK15" s="180"/>
      <c r="AL15" s="180"/>
      <c r="AM15" s="176"/>
      <c r="AN15" s="176"/>
      <c r="AO15" s="176"/>
      <c r="AP15" s="176"/>
      <c r="AQ15" s="176"/>
      <c r="AR15" s="331"/>
      <c r="AS15" s="176"/>
      <c r="AT15" s="180"/>
      <c r="AU15" s="176"/>
      <c r="AV15" s="176"/>
      <c r="AW15" s="176"/>
      <c r="AX15" s="176"/>
      <c r="AY15" s="176"/>
      <c r="AZ15" s="176"/>
      <c r="BA15" s="176"/>
      <c r="BB15" s="176"/>
      <c r="BC15" s="331"/>
      <c r="BD15" s="176"/>
      <c r="BE15" s="180"/>
      <c r="BF15" s="180"/>
      <c r="BG15" s="180"/>
      <c r="BH15" s="176"/>
      <c r="BI15" s="180"/>
      <c r="BJ15" s="180"/>
      <c r="BK15" s="176"/>
      <c r="BL15" s="176"/>
      <c r="BM15" s="176"/>
    </row>
    <row r="16">
      <c r="A16" s="165"/>
      <c r="B16" s="166"/>
      <c r="C16" s="165"/>
      <c r="E16" s="166"/>
      <c r="F16" s="340" t="s">
        <v>88</v>
      </c>
      <c r="G16" s="62"/>
      <c r="H16" s="62"/>
      <c r="I16" s="62"/>
      <c r="J16" s="62"/>
      <c r="K16" s="62"/>
      <c r="L16" s="62"/>
      <c r="M16" s="62"/>
      <c r="N16" s="63"/>
      <c r="O16" s="335">
        <v>120.0</v>
      </c>
      <c r="P16" s="163"/>
      <c r="Q16" s="336">
        <v>107.5</v>
      </c>
      <c r="R16" s="163"/>
      <c r="S16" s="337">
        <v>107.5</v>
      </c>
      <c r="T16" s="163"/>
      <c r="U16" s="338"/>
      <c r="V16" s="163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331"/>
      <c r="AH16" s="176"/>
      <c r="AI16" s="176"/>
      <c r="AJ16" s="180"/>
      <c r="AK16" s="176"/>
      <c r="AL16" s="176"/>
      <c r="AM16" s="176"/>
      <c r="AN16" s="176"/>
      <c r="AO16" s="176"/>
      <c r="AP16" s="176"/>
      <c r="AQ16" s="176"/>
      <c r="AR16" s="331"/>
      <c r="AS16" s="176"/>
      <c r="AT16" s="176"/>
      <c r="AU16" s="180"/>
      <c r="AV16" s="180"/>
      <c r="AW16" s="176"/>
      <c r="AX16" s="176"/>
      <c r="AY16" s="176"/>
      <c r="AZ16" s="176"/>
      <c r="BA16" s="176"/>
      <c r="BB16" s="176"/>
      <c r="BC16" s="331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</row>
    <row r="17">
      <c r="A17" s="165"/>
      <c r="B17" s="166"/>
      <c r="C17" s="165"/>
      <c r="E17" s="166"/>
      <c r="F17" s="341"/>
      <c r="G17" s="342"/>
      <c r="H17" s="342"/>
      <c r="I17" s="342"/>
      <c r="J17" s="342"/>
      <c r="K17" s="342"/>
      <c r="L17" s="342"/>
      <c r="M17" s="342"/>
      <c r="N17" s="343"/>
      <c r="O17" s="335">
        <v>130.0</v>
      </c>
      <c r="P17" s="163"/>
      <c r="Q17" s="344"/>
      <c r="R17" s="163"/>
      <c r="S17" s="273"/>
      <c r="T17" s="163"/>
      <c r="U17" s="338"/>
      <c r="V17" s="163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331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331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331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</row>
    <row r="18">
      <c r="A18" s="165"/>
      <c r="B18" s="166"/>
      <c r="C18" s="165"/>
      <c r="E18" s="166"/>
      <c r="F18" s="345"/>
      <c r="G18" s="346"/>
      <c r="H18" s="346"/>
      <c r="I18" s="346"/>
      <c r="J18" s="346"/>
      <c r="K18" s="346"/>
      <c r="L18" s="346"/>
      <c r="M18" s="346"/>
      <c r="N18" s="347"/>
      <c r="O18" s="335">
        <v>135.0</v>
      </c>
      <c r="P18" s="163"/>
      <c r="Q18" s="344"/>
      <c r="R18" s="163"/>
      <c r="S18" s="273"/>
      <c r="T18" s="163"/>
      <c r="U18" s="338"/>
      <c r="V18" s="163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331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331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331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</row>
    <row r="19">
      <c r="A19" s="165"/>
      <c r="B19" s="166"/>
      <c r="C19" s="171"/>
      <c r="D19" s="137"/>
      <c r="E19" s="138"/>
      <c r="F19" s="348"/>
      <c r="G19" s="348"/>
      <c r="H19" s="348"/>
      <c r="I19" s="348"/>
      <c r="J19" s="348"/>
      <c r="K19" s="348"/>
      <c r="L19" s="348"/>
      <c r="M19" s="348"/>
      <c r="N19" s="348"/>
      <c r="O19" s="349" t="s">
        <v>110</v>
      </c>
      <c r="P19" s="62"/>
      <c r="Q19" s="62"/>
      <c r="R19" s="62"/>
      <c r="S19" s="62"/>
      <c r="T19" s="62"/>
      <c r="U19" s="62"/>
      <c r="V19" s="63"/>
      <c r="W19" s="349"/>
      <c r="X19" s="350"/>
      <c r="Y19" s="350"/>
      <c r="Z19" s="351"/>
      <c r="AA19" s="351"/>
      <c r="AB19" s="351"/>
      <c r="AC19" s="351"/>
      <c r="AD19" s="351"/>
      <c r="AE19" s="351"/>
      <c r="AF19" s="229"/>
      <c r="AG19" s="331"/>
      <c r="AH19" s="352"/>
      <c r="AI19" s="351"/>
      <c r="AJ19" s="351"/>
      <c r="AK19" s="351"/>
      <c r="AL19" s="351"/>
      <c r="AM19" s="351"/>
      <c r="AN19" s="351"/>
      <c r="AO19" s="351"/>
      <c r="AP19" s="351"/>
      <c r="AQ19" s="229"/>
      <c r="AR19" s="331"/>
      <c r="AS19" s="352"/>
      <c r="AT19" s="351"/>
      <c r="AU19" s="351"/>
      <c r="AV19" s="351"/>
      <c r="AW19" s="351"/>
      <c r="AX19" s="351"/>
      <c r="AY19" s="351"/>
      <c r="AZ19" s="351"/>
      <c r="BA19" s="351"/>
      <c r="BB19" s="229"/>
      <c r="BC19" s="331"/>
      <c r="BD19" s="352"/>
      <c r="BE19" s="351"/>
      <c r="BF19" s="351"/>
      <c r="BG19" s="351"/>
      <c r="BH19" s="351"/>
      <c r="BI19" s="351"/>
      <c r="BJ19" s="351"/>
      <c r="BK19" s="351"/>
      <c r="BL19" s="351"/>
      <c r="BM19" s="229"/>
    </row>
    <row r="20">
      <c r="A20" s="165"/>
      <c r="B20" s="166"/>
      <c r="C20" s="333" t="s">
        <v>125</v>
      </c>
      <c r="D20" s="162"/>
      <c r="E20" s="163"/>
      <c r="F20" s="334" t="s">
        <v>86</v>
      </c>
      <c r="G20" s="62"/>
      <c r="H20" s="62"/>
      <c r="I20" s="62"/>
      <c r="J20" s="62"/>
      <c r="K20" s="62"/>
      <c r="L20" s="62"/>
      <c r="M20" s="62"/>
      <c r="N20" s="63"/>
      <c r="O20" s="255">
        <v>50.0</v>
      </c>
      <c r="P20" s="163"/>
      <c r="Q20" s="336">
        <v>47.5</v>
      </c>
      <c r="R20" s="163"/>
      <c r="S20" s="337">
        <v>42.5</v>
      </c>
      <c r="T20" s="163"/>
      <c r="U20" s="353">
        <v>55.0</v>
      </c>
      <c r="V20" s="163"/>
      <c r="W20" s="180"/>
      <c r="X20" s="180"/>
      <c r="Y20" s="180"/>
      <c r="Z20" s="180"/>
      <c r="AA20" s="180"/>
      <c r="AB20" s="176"/>
      <c r="AC20" s="176"/>
      <c r="AD20" s="176"/>
      <c r="AE20" s="176"/>
      <c r="AF20" s="176"/>
      <c r="AG20" s="331"/>
      <c r="AH20" s="238">
        <v>5.0</v>
      </c>
      <c r="AI20" s="176"/>
      <c r="AJ20" s="180"/>
      <c r="AK20" s="180"/>
      <c r="AL20" s="180"/>
      <c r="AM20" s="176"/>
      <c r="AN20" s="176"/>
      <c r="AO20" s="176"/>
      <c r="AP20" s="176"/>
      <c r="AQ20" s="176"/>
      <c r="AR20" s="331"/>
      <c r="AS20" s="180"/>
      <c r="AT20" s="176"/>
      <c r="AU20" s="180"/>
      <c r="AV20" s="180"/>
      <c r="AW20" s="176"/>
      <c r="AX20" s="176"/>
      <c r="AY20" s="176"/>
      <c r="AZ20" s="176"/>
      <c r="BA20" s="176"/>
      <c r="BB20" s="176"/>
      <c r="BC20" s="331"/>
      <c r="BD20" s="180"/>
      <c r="BE20" s="176"/>
      <c r="BF20" s="180"/>
      <c r="BG20" s="180"/>
      <c r="BH20" s="180"/>
      <c r="BI20" s="176"/>
      <c r="BJ20" s="176"/>
      <c r="BK20" s="176"/>
      <c r="BL20" s="176"/>
      <c r="BM20" s="176"/>
    </row>
    <row r="21">
      <c r="A21" s="165"/>
      <c r="B21" s="166"/>
      <c r="C21" s="165"/>
      <c r="E21" s="166"/>
      <c r="F21" s="339" t="s">
        <v>111</v>
      </c>
      <c r="G21" s="162"/>
      <c r="H21" s="162"/>
      <c r="I21" s="162"/>
      <c r="J21" s="162"/>
      <c r="K21" s="162"/>
      <c r="L21" s="162"/>
      <c r="M21" s="162"/>
      <c r="N21" s="163"/>
      <c r="O21" s="262">
        <v>60.0</v>
      </c>
      <c r="P21" s="166"/>
      <c r="Q21" s="336">
        <v>57.5</v>
      </c>
      <c r="R21" s="163"/>
      <c r="S21" s="337">
        <v>50.0</v>
      </c>
      <c r="T21" s="163"/>
      <c r="U21" s="353">
        <v>65.0</v>
      </c>
      <c r="V21" s="163"/>
      <c r="W21" s="238">
        <v>5.0</v>
      </c>
      <c r="X21" s="180"/>
      <c r="Y21" s="180"/>
      <c r="Z21" s="180"/>
      <c r="AA21" s="176"/>
      <c r="AB21" s="176"/>
      <c r="AC21" s="176"/>
      <c r="AD21" s="176"/>
      <c r="AE21" s="176"/>
      <c r="AF21" s="176"/>
      <c r="AG21" s="331"/>
      <c r="AH21" s="176"/>
      <c r="AI21" s="238">
        <v>5.0</v>
      </c>
      <c r="AJ21" s="180"/>
      <c r="AK21" s="180"/>
      <c r="AL21" s="238">
        <v>5.0</v>
      </c>
      <c r="AM21" s="176"/>
      <c r="AN21" s="176"/>
      <c r="AO21" s="176"/>
      <c r="AP21" s="176"/>
      <c r="AQ21" s="176"/>
      <c r="AR21" s="331"/>
      <c r="AS21" s="176"/>
      <c r="AT21" s="180"/>
      <c r="AU21" s="176"/>
      <c r="AV21" s="176"/>
      <c r="AW21" s="176"/>
      <c r="AX21" s="176"/>
      <c r="AY21" s="176"/>
      <c r="AZ21" s="176"/>
      <c r="BA21" s="176"/>
      <c r="BB21" s="176"/>
      <c r="BC21" s="331"/>
      <c r="BD21" s="176"/>
      <c r="BE21" s="180"/>
      <c r="BF21" s="180"/>
      <c r="BG21" s="180"/>
      <c r="BH21" s="176"/>
      <c r="BI21" s="180"/>
      <c r="BJ21" s="180"/>
      <c r="BK21" s="176"/>
      <c r="BL21" s="176"/>
      <c r="BM21" s="176"/>
    </row>
    <row r="22">
      <c r="A22" s="165"/>
      <c r="B22" s="166"/>
      <c r="C22" s="165"/>
      <c r="E22" s="166"/>
      <c r="F22" s="340" t="s">
        <v>112</v>
      </c>
      <c r="G22" s="62"/>
      <c r="H22" s="62"/>
      <c r="I22" s="62"/>
      <c r="J22" s="62"/>
      <c r="K22" s="62"/>
      <c r="L22" s="62"/>
      <c r="M22" s="62"/>
      <c r="N22" s="63"/>
      <c r="O22" s="262">
        <v>67.5</v>
      </c>
      <c r="P22" s="166"/>
      <c r="Q22" s="336">
        <v>65.0</v>
      </c>
      <c r="R22" s="163"/>
      <c r="S22" s="337">
        <v>57.5</v>
      </c>
      <c r="T22" s="163"/>
      <c r="U22" s="353">
        <v>75.0</v>
      </c>
      <c r="V22" s="163"/>
      <c r="W22" s="176"/>
      <c r="X22" s="238">
        <v>3.0</v>
      </c>
      <c r="Y22" s="238">
        <v>3.0</v>
      </c>
      <c r="Z22" s="176"/>
      <c r="AA22" s="176"/>
      <c r="AB22" s="176"/>
      <c r="AC22" s="176"/>
      <c r="AD22" s="176"/>
      <c r="AE22" s="176"/>
      <c r="AF22" s="176"/>
      <c r="AG22" s="331"/>
      <c r="AH22" s="176"/>
      <c r="AI22" s="176"/>
      <c r="AJ22" s="238">
        <v>2.0</v>
      </c>
      <c r="AK22" s="238">
        <v>3.0</v>
      </c>
      <c r="AL22" s="176"/>
      <c r="AM22" s="176"/>
      <c r="AN22" s="176"/>
      <c r="AO22" s="176"/>
      <c r="AP22" s="176"/>
      <c r="AQ22" s="176"/>
      <c r="AR22" s="331"/>
      <c r="AS22" s="176"/>
      <c r="AT22" s="176"/>
      <c r="AU22" s="180"/>
      <c r="AV22" s="180"/>
      <c r="AW22" s="176"/>
      <c r="AX22" s="176"/>
      <c r="AY22" s="176"/>
      <c r="AZ22" s="176"/>
      <c r="BA22" s="176"/>
      <c r="BB22" s="176"/>
      <c r="BC22" s="331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</row>
    <row r="23">
      <c r="A23" s="165"/>
      <c r="B23" s="166"/>
      <c r="C23" s="165"/>
      <c r="E23" s="166"/>
      <c r="F23" s="354" t="s">
        <v>113</v>
      </c>
      <c r="G23" s="137"/>
      <c r="H23" s="137"/>
      <c r="I23" s="137"/>
      <c r="J23" s="137"/>
      <c r="K23" s="137"/>
      <c r="L23" s="137"/>
      <c r="M23" s="137"/>
      <c r="N23" s="138"/>
      <c r="O23" s="262">
        <v>72.5</v>
      </c>
      <c r="P23" s="166"/>
      <c r="Q23" s="336">
        <v>70.0</v>
      </c>
      <c r="R23" s="163"/>
      <c r="S23" s="337">
        <v>62.5</v>
      </c>
      <c r="T23" s="163"/>
      <c r="U23" s="353">
        <v>80.0</v>
      </c>
      <c r="V23" s="163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331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331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331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</row>
    <row r="24">
      <c r="A24" s="165"/>
      <c r="B24" s="166"/>
      <c r="C24" s="165"/>
      <c r="E24" s="166"/>
      <c r="F24" s="348"/>
      <c r="G24" s="348"/>
      <c r="H24" s="348"/>
      <c r="I24" s="348"/>
      <c r="J24" s="348"/>
      <c r="K24" s="348"/>
      <c r="L24" s="348"/>
      <c r="M24" s="348"/>
      <c r="N24" s="355"/>
      <c r="O24" s="267">
        <v>75.0</v>
      </c>
      <c r="P24" s="138"/>
      <c r="Q24" s="344"/>
      <c r="R24" s="163"/>
      <c r="S24" s="273"/>
      <c r="T24" s="163"/>
      <c r="U24" s="353">
        <v>82.5</v>
      </c>
      <c r="V24" s="163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331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331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331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</row>
    <row r="25">
      <c r="A25" s="165"/>
      <c r="B25" s="166"/>
      <c r="C25" s="171"/>
      <c r="D25" s="137"/>
      <c r="E25" s="138"/>
      <c r="F25" s="356"/>
      <c r="G25" s="137"/>
      <c r="H25" s="137"/>
      <c r="I25" s="137"/>
      <c r="J25" s="137"/>
      <c r="K25" s="137"/>
      <c r="L25" s="137"/>
      <c r="M25" s="137"/>
      <c r="N25" s="137"/>
      <c r="O25" s="349" t="s">
        <v>110</v>
      </c>
      <c r="P25" s="62"/>
      <c r="Q25" s="62"/>
      <c r="R25" s="62"/>
      <c r="S25" s="62"/>
      <c r="T25" s="62"/>
      <c r="U25" s="62"/>
      <c r="V25" s="63"/>
      <c r="W25" s="357"/>
      <c r="X25" s="358"/>
      <c r="Y25" s="358"/>
      <c r="Z25" s="358"/>
      <c r="AA25" s="358"/>
      <c r="AB25" s="358"/>
      <c r="AC25" s="358"/>
      <c r="AD25" s="358"/>
      <c r="AE25" s="358"/>
      <c r="AF25" s="359"/>
      <c r="AG25" s="331"/>
      <c r="AH25" s="357"/>
      <c r="AI25" s="358"/>
      <c r="AJ25" s="358"/>
      <c r="AK25" s="358"/>
      <c r="AL25" s="358"/>
      <c r="AM25" s="358"/>
      <c r="AN25" s="358"/>
      <c r="AO25" s="358"/>
      <c r="AP25" s="358"/>
      <c r="AQ25" s="359"/>
      <c r="AR25" s="331"/>
      <c r="AS25" s="357"/>
      <c r="AT25" s="358"/>
      <c r="AU25" s="358"/>
      <c r="AV25" s="358"/>
      <c r="AW25" s="358"/>
      <c r="AX25" s="358"/>
      <c r="AY25" s="358"/>
      <c r="AZ25" s="358"/>
      <c r="BA25" s="358"/>
      <c r="BB25" s="359"/>
      <c r="BC25" s="331"/>
      <c r="BD25" s="357"/>
      <c r="BE25" s="358"/>
      <c r="BF25" s="358"/>
      <c r="BG25" s="358"/>
      <c r="BH25" s="358"/>
      <c r="BI25" s="358"/>
      <c r="BJ25" s="358"/>
      <c r="BK25" s="358"/>
      <c r="BL25" s="358"/>
      <c r="BM25" s="359"/>
    </row>
    <row r="26">
      <c r="A26" s="165"/>
      <c r="B26" s="166"/>
      <c r="C26" s="333" t="s">
        <v>58</v>
      </c>
      <c r="D26" s="162"/>
      <c r="E26" s="163"/>
      <c r="F26" s="334" t="s">
        <v>114</v>
      </c>
      <c r="G26" s="62"/>
      <c r="H26" s="62"/>
      <c r="I26" s="62"/>
      <c r="J26" s="62"/>
      <c r="K26" s="62"/>
      <c r="L26" s="62"/>
      <c r="M26" s="62"/>
      <c r="N26" s="63"/>
      <c r="O26" s="255">
        <v>110.0</v>
      </c>
      <c r="P26" s="163"/>
      <c r="Q26" s="336">
        <v>105.0</v>
      </c>
      <c r="R26" s="163"/>
      <c r="S26" s="337">
        <v>115.0</v>
      </c>
      <c r="T26" s="163"/>
      <c r="U26" s="353">
        <v>120.0</v>
      </c>
      <c r="V26" s="163"/>
      <c r="W26" s="360"/>
      <c r="X26" s="176"/>
      <c r="Y26" s="360"/>
      <c r="Z26" s="176"/>
      <c r="AA26" s="176"/>
      <c r="AB26" s="176"/>
      <c r="AC26" s="176"/>
      <c r="AD26" s="176"/>
      <c r="AE26" s="176"/>
      <c r="AF26" s="176"/>
      <c r="AG26" s="331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331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331"/>
      <c r="BD26" s="176"/>
      <c r="BE26" s="176"/>
      <c r="BF26" s="176"/>
      <c r="BG26" s="176"/>
      <c r="BH26" s="176"/>
      <c r="BI26" s="176"/>
      <c r="BJ26" s="176"/>
      <c r="BK26" s="176"/>
      <c r="BL26" s="176"/>
      <c r="BM26" s="176"/>
    </row>
    <row r="27">
      <c r="A27" s="165"/>
      <c r="B27" s="166"/>
      <c r="C27" s="165"/>
      <c r="E27" s="166"/>
      <c r="F27" s="339" t="s">
        <v>115</v>
      </c>
      <c r="G27" s="162"/>
      <c r="H27" s="162"/>
      <c r="I27" s="162"/>
      <c r="J27" s="162"/>
      <c r="K27" s="162"/>
      <c r="L27" s="162"/>
      <c r="M27" s="162"/>
      <c r="N27" s="163"/>
      <c r="O27" s="255">
        <v>125.0</v>
      </c>
      <c r="P27" s="163"/>
      <c r="Q27" s="336">
        <v>120.0</v>
      </c>
      <c r="R27" s="163"/>
      <c r="S27" s="337">
        <v>132.5</v>
      </c>
      <c r="T27" s="163"/>
      <c r="U27" s="353">
        <v>137.5</v>
      </c>
      <c r="V27" s="163"/>
      <c r="W27" s="261">
        <v>2.0</v>
      </c>
      <c r="X27" s="261">
        <v>2.0</v>
      </c>
      <c r="Y27" s="261">
        <v>2.0</v>
      </c>
      <c r="Z27" s="261">
        <v>2.0</v>
      </c>
      <c r="AA27" s="261">
        <v>2.0</v>
      </c>
      <c r="AB27" s="176"/>
      <c r="AC27" s="176"/>
      <c r="AD27" s="176"/>
      <c r="AE27" s="176"/>
      <c r="AF27" s="176"/>
      <c r="AG27" s="331"/>
      <c r="AH27" s="261">
        <v>2.0</v>
      </c>
      <c r="AI27" s="261">
        <v>2.0</v>
      </c>
      <c r="AJ27" s="261">
        <v>2.0</v>
      </c>
      <c r="AK27" s="261">
        <v>2.0</v>
      </c>
      <c r="AL27" s="261">
        <v>2.0</v>
      </c>
      <c r="AM27" s="261">
        <v>2.0</v>
      </c>
      <c r="AN27" s="176"/>
      <c r="AO27" s="176"/>
      <c r="AP27" s="176"/>
      <c r="AQ27" s="176"/>
      <c r="AR27" s="331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331"/>
      <c r="BD27" s="176"/>
      <c r="BE27" s="176"/>
      <c r="BF27" s="176"/>
      <c r="BG27" s="176"/>
      <c r="BH27" s="176"/>
      <c r="BI27" s="176"/>
      <c r="BJ27" s="176"/>
      <c r="BK27" s="176"/>
      <c r="BL27" s="176"/>
      <c r="BM27" s="176"/>
    </row>
    <row r="28">
      <c r="A28" s="165"/>
      <c r="B28" s="166"/>
      <c r="C28" s="165"/>
      <c r="E28" s="166"/>
      <c r="F28" s="340" t="s">
        <v>116</v>
      </c>
      <c r="G28" s="62"/>
      <c r="H28" s="62"/>
      <c r="I28" s="62"/>
      <c r="J28" s="62"/>
      <c r="K28" s="62"/>
      <c r="L28" s="62"/>
      <c r="M28" s="62"/>
      <c r="N28" s="63"/>
      <c r="O28" s="255">
        <v>140.0</v>
      </c>
      <c r="P28" s="163"/>
      <c r="Q28" s="336">
        <v>132.5</v>
      </c>
      <c r="R28" s="163"/>
      <c r="S28" s="337">
        <v>147.5</v>
      </c>
      <c r="T28" s="163"/>
      <c r="U28" s="353">
        <v>155.0</v>
      </c>
      <c r="V28" s="163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331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331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331"/>
      <c r="BD28" s="176"/>
      <c r="BE28" s="176"/>
      <c r="BF28" s="176"/>
      <c r="BG28" s="176"/>
      <c r="BH28" s="176"/>
      <c r="BI28" s="176"/>
      <c r="BJ28" s="176"/>
      <c r="BK28" s="176"/>
      <c r="BL28" s="176"/>
      <c r="BM28" s="176"/>
    </row>
    <row r="29">
      <c r="A29" s="165"/>
      <c r="B29" s="166"/>
      <c r="C29" s="165"/>
      <c r="E29" s="166"/>
      <c r="F29" s="361"/>
      <c r="G29" s="361"/>
      <c r="H29" s="361"/>
      <c r="I29" s="361"/>
      <c r="J29" s="361"/>
      <c r="K29" s="361"/>
      <c r="L29" s="361"/>
      <c r="M29" s="361"/>
      <c r="N29" s="362"/>
      <c r="O29" s="255">
        <v>152.5</v>
      </c>
      <c r="P29" s="163"/>
      <c r="Q29" s="336">
        <v>145.0</v>
      </c>
      <c r="R29" s="163"/>
      <c r="S29" s="337">
        <v>160.0</v>
      </c>
      <c r="T29" s="163"/>
      <c r="U29" s="353">
        <v>167.5</v>
      </c>
      <c r="V29" s="163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331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331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331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</row>
    <row r="30">
      <c r="A30" s="165"/>
      <c r="B30" s="166"/>
      <c r="C30" s="165"/>
      <c r="E30" s="166"/>
      <c r="F30" s="348"/>
      <c r="G30" s="348"/>
      <c r="H30" s="348"/>
      <c r="I30" s="348"/>
      <c r="J30" s="348"/>
      <c r="K30" s="348"/>
      <c r="L30" s="348"/>
      <c r="M30" s="348"/>
      <c r="N30" s="355"/>
      <c r="O30" s="255">
        <v>157.5</v>
      </c>
      <c r="P30" s="163"/>
      <c r="Q30" s="344"/>
      <c r="R30" s="163"/>
      <c r="S30" s="273"/>
      <c r="T30" s="163"/>
      <c r="U30" s="353">
        <v>172.5</v>
      </c>
      <c r="V30" s="163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331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331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331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</row>
    <row r="31">
      <c r="A31" s="165"/>
      <c r="B31" s="166"/>
      <c r="C31" s="171"/>
      <c r="D31" s="137"/>
      <c r="E31" s="138"/>
      <c r="F31" s="363"/>
      <c r="G31" s="62"/>
      <c r="H31" s="62"/>
      <c r="I31" s="62"/>
      <c r="J31" s="62"/>
      <c r="K31" s="62"/>
      <c r="L31" s="62"/>
      <c r="M31" s="62"/>
      <c r="N31" s="63"/>
      <c r="O31" s="349" t="s">
        <v>110</v>
      </c>
      <c r="P31" s="62"/>
      <c r="Q31" s="62"/>
      <c r="R31" s="62"/>
      <c r="S31" s="62"/>
      <c r="T31" s="62"/>
      <c r="U31" s="62"/>
      <c r="V31" s="63"/>
      <c r="W31" s="364"/>
      <c r="X31" s="365"/>
      <c r="Y31" s="365"/>
      <c r="Z31" s="365"/>
      <c r="AA31" s="365"/>
      <c r="AB31" s="365"/>
      <c r="AC31" s="365"/>
      <c r="AD31" s="365"/>
      <c r="AE31" s="365"/>
      <c r="AF31" s="366"/>
      <c r="AG31" s="331"/>
      <c r="AH31" s="364"/>
      <c r="AI31" s="365"/>
      <c r="AJ31" s="365"/>
      <c r="AK31" s="365"/>
      <c r="AL31" s="365"/>
      <c r="AM31" s="365"/>
      <c r="AN31" s="365"/>
      <c r="AO31" s="365"/>
      <c r="AP31" s="365"/>
      <c r="AQ31" s="366"/>
      <c r="AR31" s="331"/>
      <c r="AS31" s="364"/>
      <c r="AT31" s="365"/>
      <c r="AU31" s="365"/>
      <c r="AV31" s="365"/>
      <c r="AW31" s="365"/>
      <c r="AX31" s="365"/>
      <c r="AY31" s="365"/>
      <c r="AZ31" s="365"/>
      <c r="BA31" s="365"/>
      <c r="BB31" s="366"/>
      <c r="BC31" s="331"/>
      <c r="BD31" s="364"/>
      <c r="BE31" s="365"/>
      <c r="BF31" s="365"/>
      <c r="BG31" s="365"/>
      <c r="BH31" s="365"/>
      <c r="BI31" s="365"/>
      <c r="BJ31" s="365"/>
      <c r="BK31" s="365"/>
      <c r="BL31" s="365"/>
      <c r="BM31" s="366"/>
    </row>
    <row r="32">
      <c r="A32" s="165"/>
      <c r="B32" s="166"/>
      <c r="C32" s="318" t="s">
        <v>126</v>
      </c>
      <c r="D32" s="367"/>
      <c r="E32" s="367"/>
      <c r="F32" s="367"/>
      <c r="G32" s="367"/>
      <c r="H32" s="367"/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7"/>
      <c r="AA32" s="367"/>
      <c r="AB32" s="367"/>
      <c r="AC32" s="367"/>
      <c r="AD32" s="367"/>
      <c r="AE32" s="367"/>
      <c r="AF32" s="368"/>
      <c r="AG32" s="331"/>
      <c r="AH32" s="369"/>
      <c r="AI32" s="369"/>
      <c r="AJ32" s="369"/>
      <c r="AK32" s="369"/>
      <c r="AL32" s="369"/>
      <c r="AM32" s="369"/>
      <c r="AN32" s="369"/>
      <c r="AO32" s="369"/>
      <c r="AP32" s="369"/>
      <c r="AQ32" s="369"/>
      <c r="AR32" s="331"/>
      <c r="AS32" s="369"/>
      <c r="AT32" s="369"/>
      <c r="AU32" s="369"/>
      <c r="AV32" s="369"/>
      <c r="AW32" s="369"/>
      <c r="AX32" s="369"/>
      <c r="AY32" s="369"/>
      <c r="AZ32" s="369"/>
      <c r="BA32" s="369"/>
      <c r="BB32" s="369"/>
      <c r="BC32" s="331"/>
      <c r="BD32" s="369"/>
      <c r="BE32" s="369"/>
      <c r="BF32" s="369"/>
      <c r="BG32" s="369"/>
      <c r="BH32" s="369"/>
      <c r="BI32" s="369"/>
      <c r="BJ32" s="369"/>
      <c r="BK32" s="369"/>
      <c r="BL32" s="369"/>
      <c r="BM32" s="223"/>
    </row>
    <row r="33">
      <c r="A33" s="165"/>
      <c r="B33" s="166"/>
      <c r="C33" s="370" t="s">
        <v>127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O33" s="371"/>
      <c r="P33" s="62"/>
      <c r="Q33" s="62"/>
      <c r="R33" s="62"/>
      <c r="S33" s="62"/>
      <c r="T33" s="62"/>
      <c r="U33" s="62"/>
      <c r="V33" s="63"/>
      <c r="W33" s="371" t="s">
        <v>128</v>
      </c>
      <c r="X33" s="62"/>
      <c r="Y33" s="62"/>
      <c r="Z33" s="62"/>
      <c r="AA33" s="63"/>
      <c r="AB33" s="372"/>
      <c r="AC33" s="372"/>
      <c r="AD33" s="372"/>
      <c r="AE33" s="372"/>
      <c r="AF33" s="373"/>
      <c r="AG33" s="331"/>
      <c r="AH33" s="371" t="s">
        <v>128</v>
      </c>
      <c r="AI33" s="62"/>
      <c r="AJ33" s="62"/>
      <c r="AK33" s="62"/>
      <c r="AL33" s="63"/>
      <c r="AM33" s="372"/>
      <c r="AN33" s="372"/>
      <c r="AO33" s="372"/>
      <c r="AP33" s="372"/>
      <c r="AQ33" s="372"/>
      <c r="AR33" s="331"/>
      <c r="AS33" s="374"/>
      <c r="AT33" s="374"/>
      <c r="AU33" s="374"/>
      <c r="AV33" s="372"/>
      <c r="AW33" s="372"/>
      <c r="AX33" s="372"/>
      <c r="AY33" s="372"/>
      <c r="AZ33" s="372"/>
      <c r="BA33" s="372"/>
      <c r="BB33" s="372"/>
      <c r="BC33" s="331"/>
      <c r="BD33" s="374"/>
      <c r="BE33" s="374"/>
      <c r="BF33" s="374"/>
      <c r="BG33" s="372"/>
      <c r="BH33" s="372"/>
      <c r="BI33" s="372"/>
      <c r="BJ33" s="372"/>
      <c r="BK33" s="372"/>
      <c r="BL33" s="372"/>
      <c r="BM33" s="373"/>
    </row>
    <row r="34">
      <c r="A34" s="165"/>
      <c r="B34" s="166"/>
      <c r="C34" s="370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3"/>
      <c r="O34" s="375"/>
      <c r="P34" s="62"/>
      <c r="Q34" s="62"/>
      <c r="R34" s="62"/>
      <c r="S34" s="62"/>
      <c r="T34" s="62"/>
      <c r="U34" s="62"/>
      <c r="V34" s="63"/>
      <c r="W34" s="371"/>
      <c r="X34" s="62"/>
      <c r="Y34" s="62"/>
      <c r="Z34" s="62"/>
      <c r="AA34" s="63"/>
      <c r="AB34" s="374"/>
      <c r="AC34" s="374"/>
      <c r="AD34" s="374"/>
      <c r="AE34" s="374"/>
      <c r="AF34" s="376"/>
      <c r="AG34" s="377"/>
      <c r="AH34" s="371"/>
      <c r="AI34" s="62"/>
      <c r="AJ34" s="62"/>
      <c r="AK34" s="62"/>
      <c r="AL34" s="63"/>
      <c r="AM34" s="374"/>
      <c r="AN34" s="374"/>
      <c r="AO34" s="374"/>
      <c r="AP34" s="374"/>
      <c r="AQ34" s="376"/>
      <c r="AR34" s="377"/>
      <c r="AS34" s="371"/>
      <c r="AT34" s="374"/>
      <c r="AU34" s="374"/>
      <c r="AV34" s="374"/>
      <c r="AW34" s="374"/>
      <c r="AX34" s="374"/>
      <c r="AY34" s="374"/>
      <c r="AZ34" s="374"/>
      <c r="BA34" s="374"/>
      <c r="BB34" s="376"/>
      <c r="BC34" s="377"/>
      <c r="BD34" s="371"/>
      <c r="BE34" s="374"/>
      <c r="BF34" s="374"/>
      <c r="BG34" s="374"/>
      <c r="BH34" s="374"/>
      <c r="BI34" s="374"/>
      <c r="BJ34" s="374"/>
      <c r="BK34" s="374"/>
      <c r="BL34" s="374"/>
      <c r="BM34" s="376"/>
    </row>
    <row r="35">
      <c r="A35" s="165"/>
      <c r="B35" s="166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8"/>
      <c r="BJ35" s="248"/>
      <c r="BK35" s="248"/>
      <c r="BL35" s="248"/>
      <c r="BM35" s="248"/>
    </row>
    <row r="36">
      <c r="A36" s="165"/>
      <c r="B36" s="166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8"/>
      <c r="BJ36" s="248"/>
      <c r="BK36" s="248"/>
      <c r="BL36" s="248"/>
      <c r="BM36" s="248"/>
    </row>
    <row r="37">
      <c r="A37" s="165"/>
      <c r="B37" s="166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8"/>
      <c r="BJ37" s="248"/>
      <c r="BK37" s="248"/>
      <c r="BL37" s="248"/>
      <c r="BM37" s="248"/>
    </row>
    <row r="38">
      <c r="A38" s="171"/>
      <c r="B38" s="13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8"/>
      <c r="BJ38" s="248"/>
      <c r="BK38" s="248"/>
      <c r="BL38" s="248"/>
      <c r="BM38" s="248"/>
    </row>
    <row r="39">
      <c r="A39" s="183" t="s">
        <v>122</v>
      </c>
      <c r="B39" s="163"/>
      <c r="C39" s="183" t="s">
        <v>79</v>
      </c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3"/>
      <c r="O39" s="183" t="s">
        <v>123</v>
      </c>
      <c r="P39" s="162"/>
      <c r="Q39" s="162"/>
      <c r="R39" s="162"/>
      <c r="S39" s="162"/>
      <c r="T39" s="162"/>
      <c r="U39" s="162"/>
      <c r="V39" s="163"/>
      <c r="W39" s="183" t="s">
        <v>96</v>
      </c>
      <c r="X39" s="162"/>
      <c r="Y39" s="162"/>
      <c r="Z39" s="162"/>
      <c r="AA39" s="162"/>
      <c r="AB39" s="162"/>
      <c r="AC39" s="162"/>
      <c r="AD39" s="162"/>
      <c r="AE39" s="162"/>
      <c r="AF39" s="163"/>
      <c r="AG39" s="330"/>
      <c r="AH39" s="183" t="s">
        <v>96</v>
      </c>
      <c r="AI39" s="162"/>
      <c r="AJ39" s="162"/>
      <c r="AK39" s="162"/>
      <c r="AL39" s="162"/>
      <c r="AM39" s="162"/>
      <c r="AN39" s="162"/>
      <c r="AO39" s="162"/>
      <c r="AP39" s="162"/>
      <c r="AQ39" s="163"/>
      <c r="AR39" s="330"/>
      <c r="AS39" s="183" t="s">
        <v>96</v>
      </c>
      <c r="AT39" s="162"/>
      <c r="AU39" s="162"/>
      <c r="AV39" s="162"/>
      <c r="AW39" s="162"/>
      <c r="AX39" s="162"/>
      <c r="AY39" s="162"/>
      <c r="AZ39" s="162"/>
      <c r="BA39" s="162"/>
      <c r="BB39" s="163"/>
      <c r="BC39" s="330"/>
      <c r="BD39" s="183" t="s">
        <v>96</v>
      </c>
      <c r="BE39" s="162"/>
      <c r="BF39" s="162"/>
      <c r="BG39" s="162"/>
      <c r="BH39" s="162"/>
      <c r="BI39" s="162"/>
      <c r="BJ39" s="162"/>
      <c r="BK39" s="162"/>
      <c r="BL39" s="162"/>
      <c r="BM39" s="163"/>
    </row>
    <row r="40">
      <c r="A40" s="171"/>
      <c r="B40" s="138"/>
      <c r="C40" s="171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8"/>
      <c r="O40" s="171"/>
      <c r="P40" s="137"/>
      <c r="Q40" s="137"/>
      <c r="R40" s="137"/>
      <c r="S40" s="137"/>
      <c r="T40" s="137"/>
      <c r="U40" s="137"/>
      <c r="V40" s="138"/>
      <c r="W40" s="178" t="s">
        <v>100</v>
      </c>
      <c r="X40" s="187" t="s">
        <v>101</v>
      </c>
      <c r="Y40" s="187" t="s">
        <v>102</v>
      </c>
      <c r="Z40" s="187" t="s">
        <v>103</v>
      </c>
      <c r="AA40" s="187" t="s">
        <v>104</v>
      </c>
      <c r="AB40" s="187" t="s">
        <v>105</v>
      </c>
      <c r="AC40" s="187" t="s">
        <v>106</v>
      </c>
      <c r="AD40" s="187" t="s">
        <v>107</v>
      </c>
      <c r="AE40" s="187" t="s">
        <v>108</v>
      </c>
      <c r="AF40" s="188" t="s">
        <v>109</v>
      </c>
      <c r="AG40" s="331"/>
      <c r="AH40" s="178" t="s">
        <v>100</v>
      </c>
      <c r="AI40" s="187" t="s">
        <v>101</v>
      </c>
      <c r="AJ40" s="187" t="s">
        <v>102</v>
      </c>
      <c r="AK40" s="187" t="s">
        <v>103</v>
      </c>
      <c r="AL40" s="187" t="s">
        <v>104</v>
      </c>
      <c r="AM40" s="187" t="s">
        <v>105</v>
      </c>
      <c r="AN40" s="187" t="s">
        <v>106</v>
      </c>
      <c r="AO40" s="187" t="s">
        <v>107</v>
      </c>
      <c r="AP40" s="187" t="s">
        <v>108</v>
      </c>
      <c r="AQ40" s="188" t="s">
        <v>109</v>
      </c>
      <c r="AR40" s="331"/>
      <c r="AS40" s="178" t="s">
        <v>100</v>
      </c>
      <c r="AT40" s="187" t="s">
        <v>101</v>
      </c>
      <c r="AU40" s="187" t="s">
        <v>102</v>
      </c>
      <c r="AV40" s="187" t="s">
        <v>103</v>
      </c>
      <c r="AW40" s="187" t="s">
        <v>104</v>
      </c>
      <c r="AX40" s="187" t="s">
        <v>105</v>
      </c>
      <c r="AY40" s="187" t="s">
        <v>106</v>
      </c>
      <c r="AZ40" s="187" t="s">
        <v>107</v>
      </c>
      <c r="BA40" s="187" t="s">
        <v>108</v>
      </c>
      <c r="BB40" s="188" t="s">
        <v>109</v>
      </c>
      <c r="BC40" s="331"/>
      <c r="BD40" s="178" t="s">
        <v>100</v>
      </c>
      <c r="BE40" s="187" t="s">
        <v>101</v>
      </c>
      <c r="BF40" s="187" t="s">
        <v>102</v>
      </c>
      <c r="BG40" s="187" t="s">
        <v>103</v>
      </c>
      <c r="BH40" s="187" t="s">
        <v>104</v>
      </c>
      <c r="BI40" s="187" t="s">
        <v>105</v>
      </c>
      <c r="BJ40" s="187" t="s">
        <v>106</v>
      </c>
      <c r="BK40" s="187" t="s">
        <v>107</v>
      </c>
      <c r="BL40" s="187" t="s">
        <v>108</v>
      </c>
      <c r="BM40" s="188" t="s">
        <v>109</v>
      </c>
    </row>
    <row r="41">
      <c r="A41" s="332" t="s">
        <v>129</v>
      </c>
      <c r="B41" s="163"/>
      <c r="C41" s="333" t="s">
        <v>125</v>
      </c>
      <c r="D41" s="162"/>
      <c r="E41" s="163"/>
      <c r="F41" s="334" t="s">
        <v>86</v>
      </c>
      <c r="G41" s="62"/>
      <c r="H41" s="62"/>
      <c r="I41" s="62"/>
      <c r="J41" s="62"/>
      <c r="K41" s="62"/>
      <c r="L41" s="62"/>
      <c r="M41" s="62"/>
      <c r="N41" s="63"/>
      <c r="O41" s="255">
        <v>50.0</v>
      </c>
      <c r="P41" s="163"/>
      <c r="Q41" s="336">
        <v>47.5</v>
      </c>
      <c r="R41" s="163"/>
      <c r="S41" s="337">
        <v>42.5</v>
      </c>
      <c r="T41" s="163"/>
      <c r="U41" s="378">
        <v>55.0</v>
      </c>
      <c r="V41" s="163"/>
      <c r="W41" s="259"/>
      <c r="X41" s="176"/>
      <c r="Y41" s="176"/>
      <c r="Z41" s="180"/>
      <c r="AA41" s="176"/>
      <c r="AB41" s="180"/>
      <c r="AC41" s="180"/>
      <c r="AD41" s="176"/>
      <c r="AE41" s="176"/>
      <c r="AF41" s="176"/>
      <c r="AG41" s="331"/>
      <c r="AH41" s="259">
        <v>5.0</v>
      </c>
      <c r="AI41" s="176"/>
      <c r="AJ41" s="176"/>
      <c r="AK41" s="180"/>
      <c r="AL41" s="176"/>
      <c r="AM41" s="272"/>
      <c r="AN41" s="180"/>
      <c r="AO41" s="176"/>
      <c r="AP41" s="176"/>
      <c r="AQ41" s="176"/>
      <c r="AR41" s="331"/>
      <c r="AS41" s="259"/>
      <c r="AT41" s="176"/>
      <c r="AU41" s="176"/>
      <c r="AV41" s="176"/>
      <c r="AW41" s="176"/>
      <c r="AX41" s="176"/>
      <c r="AY41" s="176"/>
      <c r="AZ41" s="176"/>
      <c r="BA41" s="176"/>
      <c r="BB41" s="176"/>
      <c r="BC41" s="331"/>
      <c r="BD41" s="259"/>
      <c r="BE41" s="176"/>
      <c r="BF41" s="176"/>
      <c r="BG41" s="180"/>
      <c r="BH41" s="176"/>
      <c r="BI41" s="176"/>
      <c r="BJ41" s="180"/>
      <c r="BK41" s="176"/>
      <c r="BL41" s="176"/>
      <c r="BM41" s="180"/>
    </row>
    <row r="42">
      <c r="A42" s="165"/>
      <c r="B42" s="166"/>
      <c r="C42" s="165"/>
      <c r="E42" s="166"/>
      <c r="F42" s="339" t="s">
        <v>111</v>
      </c>
      <c r="G42" s="162"/>
      <c r="H42" s="162"/>
      <c r="I42" s="162"/>
      <c r="J42" s="162"/>
      <c r="K42" s="162"/>
      <c r="L42" s="162"/>
      <c r="M42" s="162"/>
      <c r="N42" s="163"/>
      <c r="O42" s="262">
        <v>60.0</v>
      </c>
      <c r="P42" s="166"/>
      <c r="Q42" s="336">
        <v>57.5</v>
      </c>
      <c r="R42" s="163"/>
      <c r="S42" s="337">
        <v>50.0</v>
      </c>
      <c r="T42" s="163"/>
      <c r="U42" s="378">
        <v>65.0</v>
      </c>
      <c r="V42" s="163"/>
      <c r="W42" s="259">
        <v>4.0</v>
      </c>
      <c r="X42" s="180"/>
      <c r="Y42" s="180"/>
      <c r="Z42" s="180">
        <v>4.0</v>
      </c>
      <c r="AA42" s="180"/>
      <c r="AB42" s="180"/>
      <c r="AC42" s="180"/>
      <c r="AD42" s="176"/>
      <c r="AE42" s="176"/>
      <c r="AF42" s="176"/>
      <c r="AG42" s="331"/>
      <c r="AH42" s="209"/>
      <c r="AI42" s="180">
        <v>4.0</v>
      </c>
      <c r="AJ42" s="176"/>
      <c r="AK42" s="180"/>
      <c r="AL42" s="180">
        <v>4.0</v>
      </c>
      <c r="AM42" s="180"/>
      <c r="AN42" s="180">
        <v>4.0</v>
      </c>
      <c r="AO42" s="180"/>
      <c r="AP42" s="176"/>
      <c r="AQ42" s="176"/>
      <c r="AR42" s="331"/>
      <c r="AS42" s="209"/>
      <c r="AT42" s="180"/>
      <c r="AU42" s="176"/>
      <c r="AV42" s="176"/>
      <c r="AW42" s="176"/>
      <c r="AX42" s="176"/>
      <c r="AY42" s="176"/>
      <c r="AZ42" s="176"/>
      <c r="BA42" s="176"/>
      <c r="BB42" s="176"/>
      <c r="BC42" s="331"/>
      <c r="BD42" s="209"/>
      <c r="BE42" s="180"/>
      <c r="BF42" s="176"/>
      <c r="BG42" s="180"/>
      <c r="BH42" s="180"/>
      <c r="BI42" s="279"/>
      <c r="BJ42" s="279"/>
      <c r="BK42" s="272"/>
      <c r="BL42" s="176"/>
      <c r="BM42" s="180"/>
    </row>
    <row r="43">
      <c r="A43" s="165"/>
      <c r="B43" s="166"/>
      <c r="C43" s="165"/>
      <c r="E43" s="166"/>
      <c r="F43" s="340" t="s">
        <v>112</v>
      </c>
      <c r="G43" s="62"/>
      <c r="H43" s="62"/>
      <c r="I43" s="62"/>
      <c r="J43" s="62"/>
      <c r="K43" s="62"/>
      <c r="L43" s="62"/>
      <c r="M43" s="62"/>
      <c r="N43" s="63"/>
      <c r="O43" s="262">
        <v>67.5</v>
      </c>
      <c r="P43" s="166"/>
      <c r="Q43" s="336">
        <v>65.0</v>
      </c>
      <c r="R43" s="163"/>
      <c r="S43" s="337">
        <v>57.5</v>
      </c>
      <c r="T43" s="163"/>
      <c r="U43" s="378">
        <v>75.0</v>
      </c>
      <c r="V43" s="163"/>
      <c r="W43" s="209"/>
      <c r="X43" s="180">
        <v>2.0</v>
      </c>
      <c r="Y43" s="180"/>
      <c r="Z43" s="243"/>
      <c r="AA43" s="180">
        <v>3.0</v>
      </c>
      <c r="AB43" s="176"/>
      <c r="AC43" s="176"/>
      <c r="AD43" s="176"/>
      <c r="AE43" s="176"/>
      <c r="AF43" s="176"/>
      <c r="AG43" s="331"/>
      <c r="AH43" s="209"/>
      <c r="AI43" s="176"/>
      <c r="AJ43" s="180">
        <v>3.0</v>
      </c>
      <c r="AK43" s="180"/>
      <c r="AL43" s="180"/>
      <c r="AM43" s="180">
        <v>3.0</v>
      </c>
      <c r="AN43" s="180"/>
      <c r="AO43" s="180">
        <v>3.0</v>
      </c>
      <c r="AP43" s="180"/>
      <c r="AQ43" s="176"/>
      <c r="AR43" s="331"/>
      <c r="AS43" s="209"/>
      <c r="AT43" s="176"/>
      <c r="AU43" s="180"/>
      <c r="AV43" s="180"/>
      <c r="AW43" s="180"/>
      <c r="AX43" s="180"/>
      <c r="AY43" s="180"/>
      <c r="AZ43" s="180"/>
      <c r="BA43" s="176"/>
      <c r="BB43" s="176"/>
      <c r="BC43" s="331"/>
      <c r="BD43" s="209"/>
      <c r="BE43" s="176"/>
      <c r="BF43" s="180"/>
      <c r="BG43" s="180"/>
      <c r="BH43" s="180"/>
      <c r="BI43" s="180"/>
      <c r="BJ43" s="180"/>
      <c r="BK43" s="272"/>
      <c r="BL43" s="180"/>
      <c r="BM43" s="176"/>
    </row>
    <row r="44">
      <c r="A44" s="165"/>
      <c r="B44" s="166"/>
      <c r="C44" s="165"/>
      <c r="E44" s="166"/>
      <c r="F44" s="354" t="s">
        <v>113</v>
      </c>
      <c r="G44" s="137"/>
      <c r="H44" s="137"/>
      <c r="I44" s="137"/>
      <c r="J44" s="137"/>
      <c r="K44" s="137"/>
      <c r="L44" s="137"/>
      <c r="M44" s="137"/>
      <c r="N44" s="138"/>
      <c r="O44" s="262">
        <v>72.5</v>
      </c>
      <c r="P44" s="166"/>
      <c r="Q44" s="336">
        <v>70.0</v>
      </c>
      <c r="R44" s="163"/>
      <c r="S44" s="337">
        <v>62.5</v>
      </c>
      <c r="T44" s="163"/>
      <c r="U44" s="378">
        <v>80.0</v>
      </c>
      <c r="V44" s="163"/>
      <c r="W44" s="209"/>
      <c r="X44" s="176"/>
      <c r="Y44" s="180">
        <v>1.0</v>
      </c>
      <c r="Z44" s="176"/>
      <c r="AA44" s="176"/>
      <c r="AB44" s="176"/>
      <c r="AC44" s="176"/>
      <c r="AD44" s="176"/>
      <c r="AE44" s="176"/>
      <c r="AF44" s="176"/>
      <c r="AG44" s="331"/>
      <c r="AH44" s="209"/>
      <c r="AI44" s="176"/>
      <c r="AJ44" s="176"/>
      <c r="AK44" s="180">
        <v>1.0</v>
      </c>
      <c r="AL44" s="176"/>
      <c r="AM44" s="180"/>
      <c r="AN44" s="176"/>
      <c r="AO44" s="176"/>
      <c r="AP44" s="176"/>
      <c r="AQ44" s="176"/>
      <c r="AR44" s="331"/>
      <c r="AS44" s="209"/>
      <c r="AT44" s="176"/>
      <c r="AU44" s="176"/>
      <c r="AV44" s="243"/>
      <c r="AW44" s="176"/>
      <c r="AX44" s="243"/>
      <c r="AY44" s="176"/>
      <c r="AZ44" s="180"/>
      <c r="BA44" s="176"/>
      <c r="BB44" s="176"/>
      <c r="BC44" s="331"/>
      <c r="BD44" s="209"/>
      <c r="BE44" s="176"/>
      <c r="BF44" s="176"/>
      <c r="BG44" s="180"/>
      <c r="BH44" s="180"/>
      <c r="BI44" s="180"/>
      <c r="BJ44" s="176"/>
      <c r="BK44" s="176"/>
      <c r="BL44" s="176"/>
      <c r="BM44" s="176"/>
    </row>
    <row r="45">
      <c r="A45" s="165"/>
      <c r="B45" s="166"/>
      <c r="C45" s="165"/>
      <c r="E45" s="166"/>
      <c r="F45" s="348"/>
      <c r="G45" s="348"/>
      <c r="H45" s="348"/>
      <c r="I45" s="348"/>
      <c r="J45" s="348"/>
      <c r="K45" s="348"/>
      <c r="L45" s="348"/>
      <c r="M45" s="348"/>
      <c r="N45" s="355"/>
      <c r="O45" s="267">
        <v>75.0</v>
      </c>
      <c r="P45" s="138"/>
      <c r="Q45" s="344"/>
      <c r="R45" s="163"/>
      <c r="S45" s="273"/>
      <c r="T45" s="163"/>
      <c r="U45" s="378">
        <v>82.5</v>
      </c>
      <c r="V45" s="163"/>
      <c r="W45" s="216"/>
      <c r="X45" s="215"/>
      <c r="Y45" s="215"/>
      <c r="Z45" s="215"/>
      <c r="AA45" s="215"/>
      <c r="AB45" s="215"/>
      <c r="AC45" s="215"/>
      <c r="AD45" s="215"/>
      <c r="AE45" s="215"/>
      <c r="AF45" s="215"/>
      <c r="AG45" s="331"/>
      <c r="AH45" s="216"/>
      <c r="AI45" s="215"/>
      <c r="AJ45" s="215"/>
      <c r="AK45" s="215"/>
      <c r="AL45" s="215"/>
      <c r="AM45" s="215"/>
      <c r="AN45" s="215"/>
      <c r="AO45" s="215"/>
      <c r="AP45" s="215"/>
      <c r="AQ45" s="215"/>
      <c r="AR45" s="331"/>
      <c r="AS45" s="216"/>
      <c r="AT45" s="215"/>
      <c r="AU45" s="215"/>
      <c r="AV45" s="215"/>
      <c r="AW45" s="180"/>
      <c r="AX45" s="215"/>
      <c r="AY45" s="215"/>
      <c r="AZ45" s="215"/>
      <c r="BA45" s="215"/>
      <c r="BB45" s="215"/>
      <c r="BC45" s="331"/>
      <c r="BD45" s="216"/>
      <c r="BE45" s="215"/>
      <c r="BF45" s="215"/>
      <c r="BG45" s="215"/>
      <c r="BH45" s="215"/>
      <c r="BI45" s="215"/>
      <c r="BJ45" s="215"/>
      <c r="BK45" s="215"/>
      <c r="BL45" s="215"/>
      <c r="BM45" s="215"/>
    </row>
    <row r="46">
      <c r="A46" s="165"/>
      <c r="B46" s="166"/>
      <c r="C46" s="171"/>
      <c r="D46" s="137"/>
      <c r="E46" s="138"/>
      <c r="F46" s="356"/>
      <c r="G46" s="137"/>
      <c r="H46" s="137"/>
      <c r="I46" s="137"/>
      <c r="J46" s="137"/>
      <c r="K46" s="137"/>
      <c r="L46" s="137"/>
      <c r="M46" s="137"/>
      <c r="N46" s="137"/>
      <c r="O46" s="349" t="s">
        <v>110</v>
      </c>
      <c r="P46" s="62"/>
      <c r="Q46" s="62"/>
      <c r="R46" s="62"/>
      <c r="S46" s="62"/>
      <c r="T46" s="62"/>
      <c r="U46" s="62"/>
      <c r="V46" s="63"/>
      <c r="W46" s="349"/>
      <c r="X46" s="350"/>
      <c r="Y46" s="350"/>
      <c r="Z46" s="351"/>
      <c r="AA46" s="351"/>
      <c r="AB46" s="351"/>
      <c r="AC46" s="351"/>
      <c r="AD46" s="351"/>
      <c r="AE46" s="351"/>
      <c r="AF46" s="229"/>
      <c r="AG46" s="331"/>
      <c r="AH46" s="379"/>
      <c r="AI46" s="176"/>
      <c r="AJ46" s="176"/>
      <c r="AK46" s="176"/>
      <c r="AL46" s="176"/>
      <c r="AM46" s="176"/>
      <c r="AN46" s="176"/>
      <c r="AO46" s="176"/>
      <c r="AP46" s="176"/>
      <c r="AQ46" s="244"/>
      <c r="AR46" s="331"/>
      <c r="AS46" s="380"/>
      <c r="AT46" s="221"/>
      <c r="AU46" s="221"/>
      <c r="AV46" s="221"/>
      <c r="AW46" s="221"/>
      <c r="AX46" s="221"/>
      <c r="AY46" s="221"/>
      <c r="AZ46" s="221"/>
      <c r="BA46" s="221"/>
      <c r="BB46" s="222"/>
      <c r="BC46" s="331"/>
      <c r="BD46" s="379"/>
      <c r="BE46" s="176"/>
      <c r="BF46" s="176"/>
      <c r="BG46" s="176"/>
      <c r="BH46" s="176"/>
      <c r="BI46" s="176"/>
      <c r="BJ46" s="176"/>
      <c r="BK46" s="176"/>
      <c r="BL46" s="176"/>
      <c r="BM46" s="244"/>
    </row>
    <row r="47">
      <c r="A47" s="165"/>
      <c r="B47" s="166"/>
      <c r="C47" s="333"/>
      <c r="D47" s="162"/>
      <c r="E47" s="163"/>
      <c r="F47" s="381"/>
      <c r="G47" s="381"/>
      <c r="H47" s="381"/>
      <c r="I47" s="381"/>
      <c r="J47" s="381"/>
      <c r="K47" s="381"/>
      <c r="L47" s="381"/>
      <c r="M47" s="381"/>
      <c r="N47" s="382"/>
      <c r="O47" s="220"/>
      <c r="P47" s="222"/>
      <c r="Q47" s="220"/>
      <c r="R47" s="222"/>
      <c r="S47" s="220"/>
      <c r="T47" s="222"/>
      <c r="U47" s="383"/>
      <c r="V47" s="383"/>
      <c r="W47" s="259"/>
      <c r="X47" s="176"/>
      <c r="Y47" s="176"/>
      <c r="Z47" s="180"/>
      <c r="AA47" s="176"/>
      <c r="AB47" s="180"/>
      <c r="AC47" s="180"/>
      <c r="AD47" s="176"/>
      <c r="AE47" s="176"/>
      <c r="AF47" s="176"/>
      <c r="AG47" s="331"/>
      <c r="AH47" s="259"/>
      <c r="AI47" s="176"/>
      <c r="AJ47" s="176"/>
      <c r="AK47" s="180"/>
      <c r="AL47" s="176"/>
      <c r="AM47" s="272"/>
      <c r="AN47" s="180"/>
      <c r="AO47" s="176"/>
      <c r="AP47" s="176"/>
      <c r="AQ47" s="176"/>
      <c r="AR47" s="331"/>
      <c r="AS47" s="259"/>
      <c r="AT47" s="176"/>
      <c r="AU47" s="176"/>
      <c r="AV47" s="176"/>
      <c r="AW47" s="176"/>
      <c r="AX47" s="176"/>
      <c r="AY47" s="176"/>
      <c r="AZ47" s="176"/>
      <c r="BA47" s="176"/>
      <c r="BB47" s="244"/>
      <c r="BC47" s="331"/>
      <c r="BD47" s="259"/>
      <c r="BE47" s="176"/>
      <c r="BF47" s="176"/>
      <c r="BG47" s="180"/>
      <c r="BH47" s="176"/>
      <c r="BI47" s="176"/>
      <c r="BJ47" s="180"/>
      <c r="BK47" s="176"/>
      <c r="BL47" s="176"/>
      <c r="BM47" s="180"/>
    </row>
    <row r="48">
      <c r="A48" s="165"/>
      <c r="B48" s="166"/>
      <c r="C48" s="165"/>
      <c r="E48" s="166"/>
      <c r="F48" s="361"/>
      <c r="G48" s="361"/>
      <c r="H48" s="361"/>
      <c r="I48" s="361"/>
      <c r="J48" s="361"/>
      <c r="K48" s="361"/>
      <c r="L48" s="361"/>
      <c r="M48" s="361"/>
      <c r="N48" s="362"/>
      <c r="O48" s="209"/>
      <c r="P48" s="244"/>
      <c r="Q48" s="209"/>
      <c r="R48" s="244"/>
      <c r="S48" s="209"/>
      <c r="T48" s="244"/>
      <c r="U48" s="383"/>
      <c r="V48" s="383"/>
      <c r="W48" s="209"/>
      <c r="X48" s="180"/>
      <c r="Y48" s="180"/>
      <c r="Z48" s="180"/>
      <c r="AA48" s="180"/>
      <c r="AB48" s="180"/>
      <c r="AC48" s="180"/>
      <c r="AD48" s="176"/>
      <c r="AE48" s="176"/>
      <c r="AF48" s="176"/>
      <c r="AG48" s="331"/>
      <c r="AH48" s="209"/>
      <c r="AI48" s="180"/>
      <c r="AJ48" s="176"/>
      <c r="AK48" s="180"/>
      <c r="AL48" s="180"/>
      <c r="AM48" s="180"/>
      <c r="AN48" s="180"/>
      <c r="AO48" s="180"/>
      <c r="AP48" s="176"/>
      <c r="AQ48" s="176"/>
      <c r="AR48" s="331"/>
      <c r="AS48" s="209"/>
      <c r="AT48" s="180"/>
      <c r="AU48" s="176"/>
      <c r="AV48" s="176"/>
      <c r="AW48" s="176"/>
      <c r="AX48" s="176"/>
      <c r="AY48" s="176"/>
      <c r="AZ48" s="176"/>
      <c r="BA48" s="176"/>
      <c r="BB48" s="244"/>
      <c r="BC48" s="331"/>
      <c r="BD48" s="209"/>
      <c r="BE48" s="180"/>
      <c r="BF48" s="176"/>
      <c r="BG48" s="180"/>
      <c r="BH48" s="180"/>
      <c r="BI48" s="279"/>
      <c r="BJ48" s="279"/>
      <c r="BK48" s="272"/>
      <c r="BL48" s="176"/>
      <c r="BM48" s="180"/>
    </row>
    <row r="49">
      <c r="A49" s="165"/>
      <c r="B49" s="166"/>
      <c r="C49" s="165"/>
      <c r="E49" s="166"/>
      <c r="F49" s="361"/>
      <c r="G49" s="361"/>
      <c r="H49" s="361"/>
      <c r="I49" s="361"/>
      <c r="J49" s="361"/>
      <c r="K49" s="361"/>
      <c r="L49" s="361"/>
      <c r="M49" s="361"/>
      <c r="N49" s="362"/>
      <c r="O49" s="209"/>
      <c r="P49" s="244"/>
      <c r="Q49" s="209"/>
      <c r="R49" s="244"/>
      <c r="S49" s="209"/>
      <c r="T49" s="244"/>
      <c r="U49" s="383"/>
      <c r="V49" s="383"/>
      <c r="W49" s="209"/>
      <c r="X49" s="176"/>
      <c r="Y49" s="180"/>
      <c r="Z49" s="243"/>
      <c r="AA49" s="180"/>
      <c r="AB49" s="176"/>
      <c r="AC49" s="176"/>
      <c r="AD49" s="176"/>
      <c r="AE49" s="176"/>
      <c r="AF49" s="176"/>
      <c r="AG49" s="331"/>
      <c r="AH49" s="209"/>
      <c r="AI49" s="176"/>
      <c r="AJ49" s="180"/>
      <c r="AK49" s="180"/>
      <c r="AL49" s="180"/>
      <c r="AM49" s="180"/>
      <c r="AN49" s="180"/>
      <c r="AO49" s="176"/>
      <c r="AP49" s="180"/>
      <c r="AQ49" s="176"/>
      <c r="AR49" s="331"/>
      <c r="AS49" s="209"/>
      <c r="AT49" s="176"/>
      <c r="AU49" s="180"/>
      <c r="AV49" s="180"/>
      <c r="AW49" s="180"/>
      <c r="AX49" s="180"/>
      <c r="AY49" s="180"/>
      <c r="AZ49" s="180"/>
      <c r="BA49" s="176"/>
      <c r="BB49" s="244"/>
      <c r="BC49" s="331"/>
      <c r="BD49" s="209"/>
      <c r="BE49" s="176"/>
      <c r="BF49" s="180"/>
      <c r="BG49" s="180"/>
      <c r="BH49" s="180"/>
      <c r="BI49" s="180"/>
      <c r="BJ49" s="180"/>
      <c r="BK49" s="272"/>
      <c r="BL49" s="180"/>
      <c r="BM49" s="176"/>
    </row>
    <row r="50">
      <c r="A50" s="165"/>
      <c r="B50" s="166"/>
      <c r="C50" s="165"/>
      <c r="E50" s="166"/>
      <c r="F50" s="361"/>
      <c r="G50" s="361"/>
      <c r="H50" s="361"/>
      <c r="I50" s="361"/>
      <c r="J50" s="361"/>
      <c r="K50" s="361"/>
      <c r="L50" s="361"/>
      <c r="M50" s="361"/>
      <c r="N50" s="362"/>
      <c r="O50" s="209"/>
      <c r="P50" s="244"/>
      <c r="Q50" s="209"/>
      <c r="R50" s="244"/>
      <c r="S50" s="209"/>
      <c r="T50" s="244"/>
      <c r="U50" s="383"/>
      <c r="V50" s="383"/>
      <c r="W50" s="209"/>
      <c r="X50" s="176"/>
      <c r="Y50" s="176"/>
      <c r="Z50" s="176"/>
      <c r="AA50" s="176"/>
      <c r="AB50" s="176"/>
      <c r="AC50" s="176"/>
      <c r="AD50" s="176"/>
      <c r="AE50" s="176"/>
      <c r="AF50" s="176"/>
      <c r="AG50" s="331"/>
      <c r="AH50" s="209"/>
      <c r="AI50" s="176"/>
      <c r="AJ50" s="176"/>
      <c r="AK50" s="180"/>
      <c r="AL50" s="176"/>
      <c r="AM50" s="180"/>
      <c r="AN50" s="176"/>
      <c r="AO50" s="176"/>
      <c r="AP50" s="176"/>
      <c r="AQ50" s="176"/>
      <c r="AR50" s="331"/>
      <c r="AS50" s="209"/>
      <c r="AT50" s="176"/>
      <c r="AU50" s="176"/>
      <c r="AV50" s="243"/>
      <c r="AW50" s="176"/>
      <c r="AX50" s="243"/>
      <c r="AY50" s="176"/>
      <c r="AZ50" s="180"/>
      <c r="BA50" s="176"/>
      <c r="BB50" s="244"/>
      <c r="BC50" s="331"/>
      <c r="BD50" s="209"/>
      <c r="BE50" s="176"/>
      <c r="BF50" s="176"/>
      <c r="BG50" s="180"/>
      <c r="BH50" s="180"/>
      <c r="BI50" s="180"/>
      <c r="BJ50" s="176"/>
      <c r="BK50" s="176"/>
      <c r="BL50" s="176"/>
      <c r="BM50" s="176"/>
    </row>
    <row r="51">
      <c r="A51" s="165"/>
      <c r="B51" s="166"/>
      <c r="C51" s="165"/>
      <c r="E51" s="166"/>
      <c r="F51" s="348"/>
      <c r="G51" s="348"/>
      <c r="H51" s="348"/>
      <c r="I51" s="348"/>
      <c r="J51" s="348"/>
      <c r="K51" s="348"/>
      <c r="L51" s="348"/>
      <c r="M51" s="348"/>
      <c r="N51" s="355"/>
      <c r="O51" s="216"/>
      <c r="P51" s="217"/>
      <c r="Q51" s="216"/>
      <c r="R51" s="217"/>
      <c r="S51" s="216"/>
      <c r="T51" s="217"/>
      <c r="U51" s="383"/>
      <c r="V51" s="383"/>
      <c r="W51" s="216"/>
      <c r="X51" s="215"/>
      <c r="Y51" s="215"/>
      <c r="Z51" s="215"/>
      <c r="AA51" s="215"/>
      <c r="AB51" s="215"/>
      <c r="AC51" s="215"/>
      <c r="AD51" s="215"/>
      <c r="AE51" s="215"/>
      <c r="AF51" s="215"/>
      <c r="AG51" s="331"/>
      <c r="AH51" s="216"/>
      <c r="AI51" s="215"/>
      <c r="AJ51" s="215"/>
      <c r="AK51" s="215"/>
      <c r="AL51" s="215"/>
      <c r="AM51" s="215"/>
      <c r="AN51" s="215"/>
      <c r="AO51" s="215"/>
      <c r="AP51" s="215"/>
      <c r="AQ51" s="215"/>
      <c r="AR51" s="331"/>
      <c r="AS51" s="216"/>
      <c r="AT51" s="215"/>
      <c r="AU51" s="215"/>
      <c r="AV51" s="215"/>
      <c r="AW51" s="384"/>
      <c r="AX51" s="215"/>
      <c r="AY51" s="215"/>
      <c r="AZ51" s="215"/>
      <c r="BA51" s="215"/>
      <c r="BB51" s="217"/>
      <c r="BC51" s="331"/>
      <c r="BD51" s="216"/>
      <c r="BE51" s="215"/>
      <c r="BF51" s="215"/>
      <c r="BG51" s="215"/>
      <c r="BH51" s="215"/>
      <c r="BI51" s="215"/>
      <c r="BJ51" s="215"/>
      <c r="BK51" s="215"/>
      <c r="BL51" s="215"/>
      <c r="BM51" s="215"/>
    </row>
    <row r="52">
      <c r="A52" s="165"/>
      <c r="B52" s="166"/>
      <c r="C52" s="171"/>
      <c r="D52" s="137"/>
      <c r="E52" s="138"/>
      <c r="F52" s="356"/>
      <c r="G52" s="137"/>
      <c r="H52" s="137"/>
      <c r="I52" s="137"/>
      <c r="J52" s="137"/>
      <c r="K52" s="137"/>
      <c r="L52" s="137"/>
      <c r="M52" s="137"/>
      <c r="N52" s="137"/>
      <c r="O52" s="349" t="s">
        <v>110</v>
      </c>
      <c r="P52" s="62"/>
      <c r="Q52" s="62"/>
      <c r="R52" s="62"/>
      <c r="S52" s="62"/>
      <c r="T52" s="62"/>
      <c r="U52" s="62"/>
      <c r="V52" s="63"/>
      <c r="W52" s="385"/>
      <c r="X52" s="383"/>
      <c r="Y52" s="383"/>
      <c r="Z52" s="383"/>
      <c r="AA52" s="383"/>
      <c r="AB52" s="383"/>
      <c r="AC52" s="383"/>
      <c r="AD52" s="383"/>
      <c r="AE52" s="383"/>
      <c r="AF52" s="386"/>
      <c r="AG52" s="331"/>
      <c r="AH52" s="385"/>
      <c r="AI52" s="383"/>
      <c r="AJ52" s="383"/>
      <c r="AK52" s="383"/>
      <c r="AL52" s="383"/>
      <c r="AM52" s="383"/>
      <c r="AN52" s="383"/>
      <c r="AO52" s="383"/>
      <c r="AP52" s="383"/>
      <c r="AQ52" s="386"/>
      <c r="AR52" s="331"/>
      <c r="AS52" s="385"/>
      <c r="AT52" s="383"/>
      <c r="AU52" s="383"/>
      <c r="AV52" s="383"/>
      <c r="AW52" s="383"/>
      <c r="AX52" s="383"/>
      <c r="AY52" s="383"/>
      <c r="AZ52" s="383"/>
      <c r="BA52" s="383"/>
      <c r="BB52" s="386"/>
      <c r="BC52" s="331"/>
      <c r="BD52" s="385"/>
      <c r="BE52" s="383"/>
      <c r="BF52" s="383"/>
      <c r="BG52" s="383"/>
      <c r="BH52" s="383"/>
      <c r="BI52" s="383"/>
      <c r="BJ52" s="383"/>
      <c r="BK52" s="383"/>
      <c r="BL52" s="383"/>
      <c r="BM52" s="386"/>
    </row>
    <row r="53">
      <c r="A53" s="165"/>
      <c r="B53" s="166"/>
      <c r="C53" s="333"/>
      <c r="D53" s="162"/>
      <c r="E53" s="163"/>
      <c r="F53" s="381"/>
      <c r="G53" s="381"/>
      <c r="H53" s="381"/>
      <c r="I53" s="381"/>
      <c r="J53" s="381"/>
      <c r="K53" s="381"/>
      <c r="L53" s="381"/>
      <c r="M53" s="381"/>
      <c r="N53" s="382"/>
      <c r="O53" s="220"/>
      <c r="P53" s="222"/>
      <c r="Q53" s="220"/>
      <c r="R53" s="222"/>
      <c r="S53" s="220"/>
      <c r="T53" s="222"/>
      <c r="U53" s="383"/>
      <c r="V53" s="383"/>
      <c r="W53" s="380" t="str">
        <f t="array" ref="W53">
IF(Input!B174="SQ A", INDIRECT("squat1A"), 
IF(Input!B174="SQ B", INDIRECT("squat1B"), 
IF(Input!B174="SQ C", INDIRECT("squat1C"), 
IF(Input!B174="BP A", INDIRECT("benchpress1A"), 
IF(Input!B174="BP B", INDIRECT("benchpress1B"), 
IF(Input!B174="BP C", INDIRECT("benchpress1C"), 
IF(Input!B174="DL A", INDIRECT("deadlift1A"), 
IF(Input!B174="DL B", INDIRECT("deadlift1B"), 
IF(Input!B174="DL C", INDIRECT("deadlift1C"), 
"")))))))))</f>
        <v/>
      </c>
      <c r="X53" s="387"/>
      <c r="Y53" s="387"/>
      <c r="Z53" s="387"/>
      <c r="AA53" s="387"/>
      <c r="AB53" s="387"/>
      <c r="AC53" s="387"/>
      <c r="AD53" s="387"/>
      <c r="AE53" s="387"/>
      <c r="AF53" s="388"/>
      <c r="AG53" s="331"/>
      <c r="AH53" s="380" t="str">
        <f t="array" ref="AH53">
IF(Input!B174="SQ A", INDIRECT("squat2A"), 
IF(Input!B174="SQ B", INDIRECT("squat2B"), 
IF(Input!B174="SQ C", INDIRECT("squat2C"), 
IF(Input!B174="BP A", INDIRECT("benchpress2A"), 
IF(Input!B174="BP B", INDIRECT("benchpress2B"), 
IF(Input!B174="BP C", INDIRECT("benchpress2C"), 
IF(Input!B174="DL A", INDIRECT("deadlift2A"), 
IF(Input!B174="DL B", INDIRECT("deadlift2B"), 
IF(Input!B174="DL C", INDIRECT("deadlift2C"), 
"")))))))))</f>
        <v/>
      </c>
      <c r="AI53" s="387"/>
      <c r="AJ53" s="387"/>
      <c r="AK53" s="387"/>
      <c r="AL53" s="387"/>
      <c r="AM53" s="387"/>
      <c r="AN53" s="387"/>
      <c r="AO53" s="387"/>
      <c r="AP53" s="387"/>
      <c r="AQ53" s="388"/>
      <c r="AR53" s="331"/>
      <c r="AS53" s="380" t="str">
        <f t="array" ref="AS53">
IF(Input!B174="SQ A", INDIRECT("squat3A"), 
IF(Input!B174="SQ B", INDIRECT("squat3B"), 
IF(Input!B174="SQ C", INDIRECT("squat3C"), 
IF(Input!B174="BP A", INDIRECT("benchpress3A"), 
IF(Input!B174="BP B", INDIRECT("benchpress3B"), 
IF(Input!B174="BP C", INDIRECT("benchpress3C"), 
IF(Input!B174="DL A", INDIRECT("deadlift3A"), 
IF(Input!B174="DL B", INDIRECT("deadlift3B"), 
IF(Input!B174="DL C", INDIRECT("deadlift3C"), 
"")))))))))</f>
        <v/>
      </c>
      <c r="AT53" s="387"/>
      <c r="AU53" s="387"/>
      <c r="AV53" s="387"/>
      <c r="AW53" s="387"/>
      <c r="AX53" s="387"/>
      <c r="AY53" s="387"/>
      <c r="AZ53" s="387"/>
      <c r="BA53" s="387"/>
      <c r="BB53" s="388"/>
      <c r="BC53" s="331"/>
      <c r="BD53" s="380" t="str">
        <f t="array" ref="BD53">
IF(Input!B174="SQ A", INDIRECT("squat4A"), 
IF(Input!B174="SQ B", INDIRECT("squat4B"), 
IF(Input!B174="SQ C", INDIRECT("squat4C"), 
IF(Input!B174="BP A", INDIRECT("benchpress4A"), 
IF(Input!B174="BP B", INDIRECT("benchpress4B"), 
IF(Input!B174="BP C", INDIRECT("benchpress4C"), 
IF(Input!B174="DL A", INDIRECT("deadlift4A"), 
IF(Input!B174="DL B", INDIRECT("deadlift4B"), 
IF(Input!B174="DL C", INDIRECT("deadlift4C"), 
"")))))))))</f>
        <v/>
      </c>
      <c r="BE53" s="387"/>
      <c r="BF53" s="387"/>
      <c r="BG53" s="387"/>
      <c r="BH53" s="387"/>
      <c r="BI53" s="387"/>
      <c r="BJ53" s="387"/>
      <c r="BK53" s="387"/>
      <c r="BL53" s="387"/>
      <c r="BM53" s="388"/>
    </row>
    <row r="54">
      <c r="A54" s="165"/>
      <c r="B54" s="166"/>
      <c r="C54" s="165"/>
      <c r="E54" s="166"/>
      <c r="F54" s="361"/>
      <c r="G54" s="361"/>
      <c r="H54" s="361"/>
      <c r="I54" s="361"/>
      <c r="J54" s="361"/>
      <c r="K54" s="361"/>
      <c r="L54" s="361"/>
      <c r="M54" s="361"/>
      <c r="N54" s="362"/>
      <c r="O54" s="209"/>
      <c r="P54" s="244"/>
      <c r="Q54" s="209"/>
      <c r="R54" s="244"/>
      <c r="S54" s="209"/>
      <c r="T54" s="244"/>
      <c r="U54" s="383"/>
      <c r="V54" s="383"/>
      <c r="W54" s="385"/>
      <c r="X54" s="383"/>
      <c r="Y54" s="383"/>
      <c r="Z54" s="383"/>
      <c r="AA54" s="383"/>
      <c r="AB54" s="383"/>
      <c r="AC54" s="383"/>
      <c r="AD54" s="383"/>
      <c r="AE54" s="383"/>
      <c r="AF54" s="386"/>
      <c r="AG54" s="331"/>
      <c r="AH54" s="385"/>
      <c r="AI54" s="383"/>
      <c r="AJ54" s="383"/>
      <c r="AK54" s="383"/>
      <c r="AL54" s="383"/>
      <c r="AM54" s="383"/>
      <c r="AN54" s="383"/>
      <c r="AO54" s="383"/>
      <c r="AP54" s="383"/>
      <c r="AQ54" s="386"/>
      <c r="AR54" s="331"/>
      <c r="AS54" s="385"/>
      <c r="AT54" s="383"/>
      <c r="AU54" s="383"/>
      <c r="AV54" s="383"/>
      <c r="AW54" s="383"/>
      <c r="AX54" s="383"/>
      <c r="AY54" s="383"/>
      <c r="AZ54" s="383"/>
      <c r="BA54" s="383"/>
      <c r="BB54" s="386"/>
      <c r="BC54" s="331"/>
      <c r="BD54" s="385"/>
      <c r="BE54" s="383"/>
      <c r="BF54" s="383"/>
      <c r="BG54" s="383"/>
      <c r="BH54" s="383"/>
      <c r="BI54" s="383"/>
      <c r="BJ54" s="383"/>
      <c r="BK54" s="383"/>
      <c r="BL54" s="383"/>
      <c r="BM54" s="386"/>
    </row>
    <row r="55">
      <c r="A55" s="165"/>
      <c r="B55" s="166"/>
      <c r="C55" s="165"/>
      <c r="E55" s="166"/>
      <c r="F55" s="361"/>
      <c r="G55" s="361"/>
      <c r="H55" s="361"/>
      <c r="I55" s="361"/>
      <c r="J55" s="361"/>
      <c r="K55" s="361"/>
      <c r="L55" s="361"/>
      <c r="M55" s="361"/>
      <c r="N55" s="362"/>
      <c r="O55" s="209"/>
      <c r="P55" s="244"/>
      <c r="Q55" s="209"/>
      <c r="R55" s="244"/>
      <c r="S55" s="209"/>
      <c r="T55" s="244"/>
      <c r="U55" s="383"/>
      <c r="V55" s="383"/>
      <c r="W55" s="385"/>
      <c r="X55" s="383"/>
      <c r="Y55" s="383"/>
      <c r="Z55" s="383"/>
      <c r="AA55" s="383"/>
      <c r="AB55" s="383"/>
      <c r="AC55" s="383"/>
      <c r="AD55" s="383"/>
      <c r="AE55" s="383"/>
      <c r="AF55" s="386"/>
      <c r="AG55" s="331"/>
      <c r="AH55" s="385"/>
      <c r="AI55" s="383"/>
      <c r="AJ55" s="383"/>
      <c r="AK55" s="383"/>
      <c r="AL55" s="383"/>
      <c r="AM55" s="383"/>
      <c r="AN55" s="383"/>
      <c r="AO55" s="383"/>
      <c r="AP55" s="383"/>
      <c r="AQ55" s="386"/>
      <c r="AR55" s="331"/>
      <c r="AS55" s="385"/>
      <c r="AT55" s="383"/>
      <c r="AU55" s="383"/>
      <c r="AV55" s="383"/>
      <c r="AW55" s="383"/>
      <c r="AX55" s="383"/>
      <c r="AY55" s="383"/>
      <c r="AZ55" s="383"/>
      <c r="BA55" s="383"/>
      <c r="BB55" s="386"/>
      <c r="BC55" s="331"/>
      <c r="BD55" s="385"/>
      <c r="BE55" s="383"/>
      <c r="BF55" s="383"/>
      <c r="BG55" s="383"/>
      <c r="BH55" s="383"/>
      <c r="BI55" s="383"/>
      <c r="BJ55" s="383"/>
      <c r="BK55" s="383"/>
      <c r="BL55" s="383"/>
      <c r="BM55" s="386"/>
    </row>
    <row r="56">
      <c r="A56" s="165"/>
      <c r="B56" s="166"/>
      <c r="C56" s="165"/>
      <c r="E56" s="166"/>
      <c r="F56" s="361"/>
      <c r="G56" s="361"/>
      <c r="H56" s="361"/>
      <c r="I56" s="361"/>
      <c r="J56" s="361"/>
      <c r="K56" s="361"/>
      <c r="L56" s="361"/>
      <c r="M56" s="361"/>
      <c r="N56" s="362"/>
      <c r="O56" s="209"/>
      <c r="P56" s="244"/>
      <c r="Q56" s="209"/>
      <c r="R56" s="244"/>
      <c r="S56" s="209"/>
      <c r="T56" s="244"/>
      <c r="U56" s="383"/>
      <c r="V56" s="383"/>
      <c r="W56" s="385"/>
      <c r="X56" s="383"/>
      <c r="Y56" s="383"/>
      <c r="Z56" s="383"/>
      <c r="AA56" s="383"/>
      <c r="AB56" s="383"/>
      <c r="AC56" s="383"/>
      <c r="AD56" s="383"/>
      <c r="AE56" s="383"/>
      <c r="AF56" s="386"/>
      <c r="AG56" s="331"/>
      <c r="AH56" s="385"/>
      <c r="AI56" s="383"/>
      <c r="AJ56" s="383"/>
      <c r="AK56" s="383"/>
      <c r="AL56" s="383"/>
      <c r="AM56" s="383"/>
      <c r="AN56" s="383"/>
      <c r="AO56" s="383"/>
      <c r="AP56" s="383"/>
      <c r="AQ56" s="386"/>
      <c r="AR56" s="331"/>
      <c r="AS56" s="385"/>
      <c r="AT56" s="383"/>
      <c r="AU56" s="383"/>
      <c r="AV56" s="383"/>
      <c r="AW56" s="383"/>
      <c r="AX56" s="383"/>
      <c r="AY56" s="383"/>
      <c r="AZ56" s="383"/>
      <c r="BA56" s="383"/>
      <c r="BB56" s="386"/>
      <c r="BC56" s="331"/>
      <c r="BD56" s="385"/>
      <c r="BE56" s="383"/>
      <c r="BF56" s="383"/>
      <c r="BG56" s="383"/>
      <c r="BH56" s="383"/>
      <c r="BI56" s="383"/>
      <c r="BJ56" s="383"/>
      <c r="BK56" s="383"/>
      <c r="BL56" s="383"/>
      <c r="BM56" s="386"/>
    </row>
    <row r="57">
      <c r="A57" s="165"/>
      <c r="B57" s="166"/>
      <c r="C57" s="165"/>
      <c r="E57" s="166"/>
      <c r="F57" s="348"/>
      <c r="G57" s="348"/>
      <c r="H57" s="348"/>
      <c r="I57" s="348"/>
      <c r="J57" s="348"/>
      <c r="K57" s="348"/>
      <c r="L57" s="348"/>
      <c r="M57" s="348"/>
      <c r="N57" s="355"/>
      <c r="O57" s="216"/>
      <c r="P57" s="217"/>
      <c r="Q57" s="216"/>
      <c r="R57" s="217"/>
      <c r="S57" s="216"/>
      <c r="T57" s="217"/>
      <c r="U57" s="383"/>
      <c r="V57" s="383"/>
      <c r="W57" s="389"/>
      <c r="X57" s="390"/>
      <c r="Y57" s="390"/>
      <c r="Z57" s="390"/>
      <c r="AA57" s="390"/>
      <c r="AB57" s="390"/>
      <c r="AC57" s="390"/>
      <c r="AD57" s="390"/>
      <c r="AE57" s="390"/>
      <c r="AF57" s="391"/>
      <c r="AG57" s="331"/>
      <c r="AH57" s="389"/>
      <c r="AI57" s="390"/>
      <c r="AJ57" s="390"/>
      <c r="AK57" s="390"/>
      <c r="AL57" s="390"/>
      <c r="AM57" s="390"/>
      <c r="AN57" s="390"/>
      <c r="AO57" s="390"/>
      <c r="AP57" s="390"/>
      <c r="AQ57" s="391"/>
      <c r="AR57" s="331"/>
      <c r="AS57" s="389"/>
      <c r="AT57" s="390"/>
      <c r="AU57" s="390"/>
      <c r="AV57" s="390"/>
      <c r="AW57" s="390"/>
      <c r="AX57" s="390"/>
      <c r="AY57" s="390"/>
      <c r="AZ57" s="390"/>
      <c r="BA57" s="390"/>
      <c r="BB57" s="391"/>
      <c r="BC57" s="331"/>
      <c r="BD57" s="389"/>
      <c r="BE57" s="390"/>
      <c r="BF57" s="390"/>
      <c r="BG57" s="390"/>
      <c r="BH57" s="390"/>
      <c r="BI57" s="390"/>
      <c r="BJ57" s="390"/>
      <c r="BK57" s="390"/>
      <c r="BL57" s="390"/>
      <c r="BM57" s="391"/>
    </row>
    <row r="58">
      <c r="A58" s="165"/>
      <c r="B58" s="166"/>
      <c r="C58" s="171"/>
      <c r="D58" s="137"/>
      <c r="E58" s="138"/>
      <c r="F58" s="363"/>
      <c r="G58" s="62"/>
      <c r="H58" s="62"/>
      <c r="I58" s="62"/>
      <c r="J58" s="62"/>
      <c r="K58" s="62"/>
      <c r="L58" s="62"/>
      <c r="M58" s="62"/>
      <c r="N58" s="63"/>
      <c r="O58" s="349" t="s">
        <v>110</v>
      </c>
      <c r="P58" s="62"/>
      <c r="Q58" s="62"/>
      <c r="R58" s="62"/>
      <c r="S58" s="62"/>
      <c r="T58" s="62"/>
      <c r="U58" s="62"/>
      <c r="V58" s="63"/>
      <c r="W58" s="364"/>
      <c r="X58" s="365"/>
      <c r="Y58" s="365"/>
      <c r="Z58" s="365"/>
      <c r="AA58" s="365"/>
      <c r="AB58" s="365"/>
      <c r="AC58" s="365"/>
      <c r="AD58" s="365"/>
      <c r="AE58" s="365"/>
      <c r="AF58" s="366"/>
      <c r="AG58" s="331"/>
      <c r="AH58" s="364"/>
      <c r="AI58" s="365"/>
      <c r="AJ58" s="365"/>
      <c r="AK58" s="365"/>
      <c r="AL58" s="365"/>
      <c r="AM58" s="365"/>
      <c r="AN58" s="365"/>
      <c r="AO58" s="365"/>
      <c r="AP58" s="365"/>
      <c r="AQ58" s="366"/>
      <c r="AR58" s="331"/>
      <c r="AS58" s="364"/>
      <c r="AT58" s="365"/>
      <c r="AU58" s="365"/>
      <c r="AV58" s="365"/>
      <c r="AW58" s="365"/>
      <c r="AX58" s="365"/>
      <c r="AY58" s="365"/>
      <c r="AZ58" s="365"/>
      <c r="BA58" s="365"/>
      <c r="BB58" s="366"/>
      <c r="BC58" s="331"/>
      <c r="BD58" s="364"/>
      <c r="BE58" s="365"/>
      <c r="BF58" s="365"/>
      <c r="BG58" s="365"/>
      <c r="BH58" s="365"/>
      <c r="BI58" s="365"/>
      <c r="BJ58" s="365"/>
      <c r="BK58" s="365"/>
      <c r="BL58" s="365"/>
      <c r="BM58" s="366"/>
    </row>
    <row r="59">
      <c r="A59" s="165"/>
      <c r="B59" s="166"/>
      <c r="C59" s="318" t="s">
        <v>126</v>
      </c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7"/>
      <c r="W59" s="367"/>
      <c r="X59" s="367"/>
      <c r="Y59" s="367"/>
      <c r="Z59" s="367"/>
      <c r="AA59" s="367"/>
      <c r="AB59" s="367"/>
      <c r="AC59" s="367"/>
      <c r="AD59" s="367"/>
      <c r="AE59" s="367"/>
      <c r="AF59" s="368"/>
      <c r="AG59" s="331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31"/>
      <c r="AS59" s="372"/>
      <c r="AT59" s="372"/>
      <c r="AU59" s="372"/>
      <c r="AV59" s="372"/>
      <c r="AW59" s="372"/>
      <c r="AX59" s="372"/>
      <c r="AY59" s="372"/>
      <c r="AZ59" s="372"/>
      <c r="BA59" s="372"/>
      <c r="BB59" s="372"/>
      <c r="BC59" s="331"/>
      <c r="BD59" s="372"/>
      <c r="BE59" s="372"/>
      <c r="BF59" s="372"/>
      <c r="BG59" s="372"/>
      <c r="BH59" s="372"/>
      <c r="BI59" s="372"/>
      <c r="BJ59" s="372"/>
      <c r="BK59" s="372"/>
      <c r="BL59" s="372"/>
      <c r="BM59" s="373"/>
    </row>
    <row r="60">
      <c r="A60" s="165"/>
      <c r="B60" s="166"/>
      <c r="C60" s="370" t="s">
        <v>130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3"/>
      <c r="O60" s="371" t="s">
        <v>131</v>
      </c>
      <c r="P60" s="62"/>
      <c r="Q60" s="62"/>
      <c r="R60" s="62"/>
      <c r="S60" s="62"/>
      <c r="T60" s="62"/>
      <c r="U60" s="62"/>
      <c r="V60" s="63"/>
      <c r="W60" s="371"/>
      <c r="X60" s="374"/>
      <c r="Y60" s="374"/>
      <c r="Z60" s="372"/>
      <c r="AA60" s="372"/>
      <c r="AB60" s="372"/>
      <c r="AC60" s="372"/>
      <c r="AD60" s="372"/>
      <c r="AE60" s="372"/>
      <c r="AF60" s="373"/>
      <c r="AG60" s="331"/>
      <c r="AH60" s="374"/>
      <c r="AI60" s="374"/>
      <c r="AJ60" s="374"/>
      <c r="AK60" s="372"/>
      <c r="AL60" s="372"/>
      <c r="AM60" s="372"/>
      <c r="AN60" s="372"/>
      <c r="AO60" s="372"/>
      <c r="AP60" s="372"/>
      <c r="AQ60" s="372"/>
      <c r="AR60" s="331"/>
      <c r="AS60" s="374"/>
      <c r="AT60" s="374"/>
      <c r="AU60" s="374"/>
      <c r="AV60" s="372"/>
      <c r="AW60" s="372"/>
      <c r="AX60" s="372"/>
      <c r="AY60" s="372"/>
      <c r="AZ60" s="372"/>
      <c r="BA60" s="372"/>
      <c r="BB60" s="372"/>
      <c r="BC60" s="331"/>
      <c r="BD60" s="374"/>
      <c r="BE60" s="374"/>
      <c r="BF60" s="374"/>
      <c r="BG60" s="372"/>
      <c r="BH60" s="372"/>
      <c r="BI60" s="372"/>
      <c r="BJ60" s="372"/>
      <c r="BK60" s="372"/>
      <c r="BL60" s="372"/>
      <c r="BM60" s="373"/>
    </row>
    <row r="61">
      <c r="A61" s="165"/>
      <c r="B61" s="166"/>
      <c r="C61" s="370" t="s">
        <v>132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3"/>
      <c r="O61" s="375" t="s">
        <v>133</v>
      </c>
      <c r="P61" s="62"/>
      <c r="Q61" s="62"/>
      <c r="R61" s="62"/>
      <c r="S61" s="62"/>
      <c r="T61" s="62"/>
      <c r="U61" s="62"/>
      <c r="V61" s="63"/>
      <c r="W61" s="371"/>
      <c r="X61" s="374"/>
      <c r="Y61" s="374"/>
      <c r="Z61" s="374"/>
      <c r="AA61" s="374"/>
      <c r="AB61" s="374"/>
      <c r="AC61" s="374"/>
      <c r="AD61" s="374"/>
      <c r="AE61" s="374"/>
      <c r="AF61" s="376"/>
      <c r="AG61" s="377"/>
      <c r="AH61" s="371"/>
      <c r="AI61" s="374"/>
      <c r="AJ61" s="374"/>
      <c r="AK61" s="374"/>
      <c r="AL61" s="374"/>
      <c r="AM61" s="374"/>
      <c r="AN61" s="374"/>
      <c r="AO61" s="374"/>
      <c r="AP61" s="374"/>
      <c r="AQ61" s="376"/>
      <c r="AR61" s="377"/>
      <c r="AS61" s="371"/>
      <c r="AT61" s="374"/>
      <c r="AU61" s="374"/>
      <c r="AV61" s="374"/>
      <c r="AW61" s="374"/>
      <c r="AX61" s="374"/>
      <c r="AY61" s="374"/>
      <c r="AZ61" s="374"/>
      <c r="BA61" s="374"/>
      <c r="BB61" s="376"/>
      <c r="BC61" s="377"/>
      <c r="BD61" s="371"/>
      <c r="BE61" s="374"/>
      <c r="BF61" s="374"/>
      <c r="BG61" s="374"/>
      <c r="BH61" s="374"/>
      <c r="BI61" s="374"/>
      <c r="BJ61" s="374"/>
      <c r="BK61" s="374"/>
      <c r="BL61" s="374"/>
      <c r="BM61" s="376"/>
    </row>
    <row r="62">
      <c r="A62" s="165"/>
      <c r="B62" s="166"/>
      <c r="C62" s="370" t="s">
        <v>134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3"/>
      <c r="O62" s="375" t="s">
        <v>135</v>
      </c>
      <c r="P62" s="62"/>
      <c r="Q62" s="62"/>
      <c r="R62" s="62"/>
      <c r="S62" s="62"/>
      <c r="T62" s="62"/>
      <c r="U62" s="62"/>
      <c r="V62" s="63"/>
      <c r="W62" s="371"/>
      <c r="X62" s="374"/>
      <c r="Y62" s="374"/>
      <c r="Z62" s="374"/>
      <c r="AA62" s="374"/>
      <c r="AB62" s="374"/>
      <c r="AC62" s="374"/>
      <c r="AD62" s="374"/>
      <c r="AE62" s="374"/>
      <c r="AF62" s="376"/>
      <c r="AG62" s="377"/>
      <c r="AH62" s="371"/>
      <c r="AI62" s="374"/>
      <c r="AJ62" s="374"/>
      <c r="AK62" s="374"/>
      <c r="AL62" s="374"/>
      <c r="AM62" s="374"/>
      <c r="AN62" s="374"/>
      <c r="AO62" s="374"/>
      <c r="AP62" s="374"/>
      <c r="AQ62" s="376"/>
      <c r="AR62" s="377"/>
      <c r="AS62" s="371"/>
      <c r="AT62" s="374"/>
      <c r="AU62" s="374"/>
      <c r="AV62" s="374"/>
      <c r="AW62" s="374"/>
      <c r="AX62" s="374"/>
      <c r="AY62" s="374"/>
      <c r="AZ62" s="374"/>
      <c r="BA62" s="374"/>
      <c r="BB62" s="376"/>
      <c r="BC62" s="377"/>
      <c r="BD62" s="371"/>
      <c r="BE62" s="374"/>
      <c r="BF62" s="374"/>
      <c r="BG62" s="374"/>
      <c r="BH62" s="374"/>
      <c r="BI62" s="374"/>
      <c r="BJ62" s="374"/>
      <c r="BK62" s="374"/>
      <c r="BL62" s="374"/>
      <c r="BM62" s="376"/>
    </row>
    <row r="63">
      <c r="A63" s="165"/>
      <c r="B63" s="166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8"/>
      <c r="BK63" s="248"/>
      <c r="BL63" s="248"/>
      <c r="BM63" s="248"/>
    </row>
    <row r="64">
      <c r="A64" s="165"/>
      <c r="B64" s="166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8"/>
      <c r="AN64" s="248"/>
      <c r="AO64" s="248"/>
      <c r="AP64" s="248"/>
      <c r="AQ64" s="248"/>
      <c r="AR64" s="248"/>
      <c r="AS64" s="248"/>
      <c r="AT64" s="248"/>
      <c r="AU64" s="248"/>
      <c r="AV64" s="248"/>
      <c r="AW64" s="248"/>
      <c r="AX64" s="248"/>
      <c r="AY64" s="248"/>
      <c r="AZ64" s="248"/>
      <c r="BA64" s="248"/>
      <c r="BB64" s="248"/>
      <c r="BC64" s="248"/>
      <c r="BD64" s="248"/>
      <c r="BE64" s="248"/>
      <c r="BF64" s="248"/>
      <c r="BG64" s="248"/>
      <c r="BH64" s="248"/>
      <c r="BI64" s="248"/>
      <c r="BJ64" s="248"/>
      <c r="BK64" s="248"/>
      <c r="BL64" s="248"/>
      <c r="BM64" s="248"/>
    </row>
    <row r="65">
      <c r="A65" s="171"/>
      <c r="B65" s="13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  <c r="AE65" s="248"/>
      <c r="AF65" s="248"/>
      <c r="AG65" s="248"/>
      <c r="AH65" s="248"/>
      <c r="AI65" s="248"/>
      <c r="AJ65" s="248"/>
      <c r="AK65" s="248"/>
      <c r="AL65" s="248"/>
      <c r="AM65" s="248"/>
      <c r="AN65" s="248"/>
      <c r="AO65" s="248"/>
      <c r="AP65" s="248"/>
      <c r="AQ65" s="248"/>
      <c r="AR65" s="248"/>
      <c r="AS65" s="248"/>
      <c r="AT65" s="248"/>
      <c r="AU65" s="248"/>
      <c r="AV65" s="248"/>
      <c r="AW65" s="248"/>
      <c r="AX65" s="248"/>
      <c r="AY65" s="248"/>
      <c r="AZ65" s="248"/>
      <c r="BA65" s="248"/>
      <c r="BB65" s="248"/>
      <c r="BC65" s="248"/>
      <c r="BD65" s="248"/>
      <c r="BE65" s="248"/>
      <c r="BF65" s="248"/>
      <c r="BG65" s="248"/>
      <c r="BH65" s="248"/>
      <c r="BI65" s="248"/>
      <c r="BJ65" s="248"/>
      <c r="BK65" s="248"/>
      <c r="BL65" s="248"/>
      <c r="BM65" s="248"/>
    </row>
    <row r="66">
      <c r="A66" s="183" t="s">
        <v>122</v>
      </c>
      <c r="B66" s="163"/>
      <c r="C66" s="183" t="s">
        <v>79</v>
      </c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3"/>
      <c r="O66" s="183" t="s">
        <v>123</v>
      </c>
      <c r="P66" s="162"/>
      <c r="Q66" s="162"/>
      <c r="R66" s="162"/>
      <c r="S66" s="162"/>
      <c r="T66" s="162"/>
      <c r="U66" s="162"/>
      <c r="V66" s="163"/>
      <c r="W66" s="183" t="s">
        <v>96</v>
      </c>
      <c r="X66" s="162"/>
      <c r="Y66" s="162"/>
      <c r="Z66" s="162"/>
      <c r="AA66" s="162"/>
      <c r="AB66" s="162"/>
      <c r="AC66" s="162"/>
      <c r="AD66" s="162"/>
      <c r="AE66" s="162"/>
      <c r="AF66" s="163"/>
      <c r="AG66" s="330"/>
      <c r="AH66" s="183" t="s">
        <v>96</v>
      </c>
      <c r="AI66" s="162"/>
      <c r="AJ66" s="162"/>
      <c r="AK66" s="162"/>
      <c r="AL66" s="162"/>
      <c r="AM66" s="162"/>
      <c r="AN66" s="162"/>
      <c r="AO66" s="162"/>
      <c r="AP66" s="162"/>
      <c r="AQ66" s="163"/>
      <c r="AR66" s="330"/>
      <c r="AS66" s="183" t="s">
        <v>96</v>
      </c>
      <c r="AT66" s="162"/>
      <c r="AU66" s="162"/>
      <c r="AV66" s="162"/>
      <c r="AW66" s="162"/>
      <c r="AX66" s="162"/>
      <c r="AY66" s="162"/>
      <c r="AZ66" s="162"/>
      <c r="BA66" s="162"/>
      <c r="BB66" s="163"/>
      <c r="BC66" s="330"/>
      <c r="BD66" s="183" t="s">
        <v>96</v>
      </c>
      <c r="BE66" s="162"/>
      <c r="BF66" s="162"/>
      <c r="BG66" s="162"/>
      <c r="BH66" s="162"/>
      <c r="BI66" s="162"/>
      <c r="BJ66" s="162"/>
      <c r="BK66" s="162"/>
      <c r="BL66" s="162"/>
      <c r="BM66" s="163"/>
    </row>
    <row r="67">
      <c r="A67" s="171"/>
      <c r="B67" s="138"/>
      <c r="C67" s="171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/>
      <c r="O67" s="171"/>
      <c r="P67" s="137"/>
      <c r="Q67" s="137"/>
      <c r="R67" s="137"/>
      <c r="S67" s="137"/>
      <c r="T67" s="137"/>
      <c r="U67" s="137"/>
      <c r="V67" s="138"/>
      <c r="W67" s="178" t="s">
        <v>100</v>
      </c>
      <c r="X67" s="187" t="s">
        <v>101</v>
      </c>
      <c r="Y67" s="187" t="s">
        <v>102</v>
      </c>
      <c r="Z67" s="187" t="s">
        <v>103</v>
      </c>
      <c r="AA67" s="187" t="s">
        <v>104</v>
      </c>
      <c r="AB67" s="187" t="s">
        <v>105</v>
      </c>
      <c r="AC67" s="187" t="s">
        <v>106</v>
      </c>
      <c r="AD67" s="187" t="s">
        <v>107</v>
      </c>
      <c r="AE67" s="187" t="s">
        <v>108</v>
      </c>
      <c r="AF67" s="188" t="s">
        <v>109</v>
      </c>
      <c r="AG67" s="331"/>
      <c r="AH67" s="178" t="s">
        <v>100</v>
      </c>
      <c r="AI67" s="187" t="s">
        <v>101</v>
      </c>
      <c r="AJ67" s="187" t="s">
        <v>102</v>
      </c>
      <c r="AK67" s="187" t="s">
        <v>103</v>
      </c>
      <c r="AL67" s="187" t="s">
        <v>104</v>
      </c>
      <c r="AM67" s="187" t="s">
        <v>105</v>
      </c>
      <c r="AN67" s="187" t="s">
        <v>106</v>
      </c>
      <c r="AO67" s="187" t="s">
        <v>107</v>
      </c>
      <c r="AP67" s="187" t="s">
        <v>108</v>
      </c>
      <c r="AQ67" s="188" t="s">
        <v>109</v>
      </c>
      <c r="AR67" s="331"/>
      <c r="AS67" s="178" t="s">
        <v>100</v>
      </c>
      <c r="AT67" s="187" t="s">
        <v>101</v>
      </c>
      <c r="AU67" s="187" t="s">
        <v>102</v>
      </c>
      <c r="AV67" s="187" t="s">
        <v>103</v>
      </c>
      <c r="AW67" s="187" t="s">
        <v>104</v>
      </c>
      <c r="AX67" s="187" t="s">
        <v>105</v>
      </c>
      <c r="AY67" s="187" t="s">
        <v>106</v>
      </c>
      <c r="AZ67" s="187" t="s">
        <v>107</v>
      </c>
      <c r="BA67" s="187" t="s">
        <v>108</v>
      </c>
      <c r="BB67" s="188" t="s">
        <v>109</v>
      </c>
      <c r="BC67" s="331"/>
      <c r="BD67" s="178" t="s">
        <v>100</v>
      </c>
      <c r="BE67" s="187" t="s">
        <v>101</v>
      </c>
      <c r="BF67" s="187" t="s">
        <v>102</v>
      </c>
      <c r="BG67" s="187" t="s">
        <v>103</v>
      </c>
      <c r="BH67" s="187" t="s">
        <v>104</v>
      </c>
      <c r="BI67" s="187" t="s">
        <v>105</v>
      </c>
      <c r="BJ67" s="187" t="s">
        <v>106</v>
      </c>
      <c r="BK67" s="187" t="s">
        <v>107</v>
      </c>
      <c r="BL67" s="187" t="s">
        <v>108</v>
      </c>
      <c r="BM67" s="188" t="s">
        <v>109</v>
      </c>
    </row>
    <row r="68">
      <c r="A68" s="332" t="s">
        <v>136</v>
      </c>
      <c r="B68" s="163"/>
      <c r="C68" s="333" t="s">
        <v>3</v>
      </c>
      <c r="D68" s="162"/>
      <c r="E68" s="163"/>
      <c r="F68" s="334" t="s">
        <v>86</v>
      </c>
      <c r="G68" s="62"/>
      <c r="H68" s="62"/>
      <c r="I68" s="62"/>
      <c r="J68" s="62"/>
      <c r="K68" s="62"/>
      <c r="L68" s="62"/>
      <c r="M68" s="62"/>
      <c r="N68" s="63"/>
      <c r="O68" s="335">
        <v>90.0</v>
      </c>
      <c r="P68" s="163"/>
      <c r="Q68" s="336">
        <v>80.0</v>
      </c>
      <c r="R68" s="163"/>
      <c r="S68" s="337">
        <v>80.0</v>
      </c>
      <c r="T68" s="163"/>
      <c r="U68" s="338"/>
      <c r="V68" s="163"/>
      <c r="W68" s="180">
        <v>5.0</v>
      </c>
      <c r="X68" s="176"/>
      <c r="Y68" s="176"/>
      <c r="Z68" s="360"/>
      <c r="AA68" s="176"/>
      <c r="AB68" s="360"/>
      <c r="AC68" s="360"/>
      <c r="AD68" s="176"/>
      <c r="AE68" s="176"/>
      <c r="AF68" s="176"/>
      <c r="AG68" s="331"/>
      <c r="AH68" s="261">
        <v>5.0</v>
      </c>
      <c r="AI68" s="176"/>
      <c r="AJ68" s="176"/>
      <c r="AK68" s="180"/>
      <c r="AL68" s="176"/>
      <c r="AM68" s="176"/>
      <c r="AN68" s="360"/>
      <c r="AO68" s="176"/>
      <c r="AP68" s="176"/>
      <c r="AQ68" s="176"/>
      <c r="AR68" s="331"/>
      <c r="AS68" s="360"/>
      <c r="AT68" s="176"/>
      <c r="AU68" s="176"/>
      <c r="AV68" s="176"/>
      <c r="AW68" s="176"/>
      <c r="AX68" s="176"/>
      <c r="AY68" s="176"/>
      <c r="AZ68" s="176"/>
      <c r="BA68" s="176"/>
      <c r="BB68" s="176"/>
      <c r="BC68" s="331"/>
      <c r="BD68" s="360"/>
      <c r="BE68" s="176"/>
      <c r="BF68" s="176"/>
      <c r="BG68" s="360"/>
      <c r="BH68" s="176"/>
      <c r="BI68" s="176"/>
      <c r="BJ68" s="360"/>
      <c r="BK68" s="176"/>
      <c r="BL68" s="176"/>
      <c r="BM68" s="360"/>
    </row>
    <row r="69">
      <c r="A69" s="165"/>
      <c r="B69" s="166"/>
      <c r="C69" s="165"/>
      <c r="E69" s="166"/>
      <c r="F69" s="339" t="s">
        <v>87</v>
      </c>
      <c r="G69" s="162"/>
      <c r="H69" s="162"/>
      <c r="I69" s="162"/>
      <c r="J69" s="162"/>
      <c r="K69" s="162"/>
      <c r="L69" s="162"/>
      <c r="M69" s="162"/>
      <c r="N69" s="163"/>
      <c r="O69" s="335">
        <v>105.0</v>
      </c>
      <c r="P69" s="163"/>
      <c r="Q69" s="336">
        <v>95.0</v>
      </c>
      <c r="R69" s="163"/>
      <c r="S69" s="337">
        <v>95.0</v>
      </c>
      <c r="T69" s="163"/>
      <c r="U69" s="338"/>
      <c r="V69" s="163"/>
      <c r="W69" s="176"/>
      <c r="X69" s="180">
        <v>4.0</v>
      </c>
      <c r="Y69" s="360"/>
      <c r="Z69" s="360"/>
      <c r="AA69" s="180">
        <v>4.0</v>
      </c>
      <c r="AB69" s="360"/>
      <c r="AC69" s="360"/>
      <c r="AD69" s="176"/>
      <c r="AE69" s="176"/>
      <c r="AF69" s="176"/>
      <c r="AG69" s="331"/>
      <c r="AH69" s="176"/>
      <c r="AI69" s="261">
        <v>4.0</v>
      </c>
      <c r="AJ69" s="176"/>
      <c r="AK69" s="360"/>
      <c r="AL69" s="261">
        <v>3.0</v>
      </c>
      <c r="AM69" s="360"/>
      <c r="AN69" s="360"/>
      <c r="AO69" s="360"/>
      <c r="AP69" s="176"/>
      <c r="AQ69" s="176"/>
      <c r="AR69" s="331"/>
      <c r="AS69" s="176"/>
      <c r="AT69" s="360"/>
      <c r="AU69" s="176"/>
      <c r="AV69" s="176"/>
      <c r="AW69" s="176"/>
      <c r="AX69" s="176"/>
      <c r="AY69" s="176"/>
      <c r="AZ69" s="176"/>
      <c r="BA69" s="176"/>
      <c r="BB69" s="176"/>
      <c r="BC69" s="331"/>
      <c r="BD69" s="176"/>
      <c r="BE69" s="360"/>
      <c r="BF69" s="176"/>
      <c r="BG69" s="360"/>
      <c r="BH69" s="360"/>
      <c r="BI69" s="360"/>
      <c r="BJ69" s="360"/>
      <c r="BK69" s="176"/>
      <c r="BL69" s="176"/>
      <c r="BM69" s="360"/>
    </row>
    <row r="70">
      <c r="A70" s="165"/>
      <c r="B70" s="166"/>
      <c r="C70" s="165"/>
      <c r="E70" s="166"/>
      <c r="F70" s="340" t="s">
        <v>88</v>
      </c>
      <c r="G70" s="62"/>
      <c r="H70" s="62"/>
      <c r="I70" s="62"/>
      <c r="J70" s="62"/>
      <c r="K70" s="62"/>
      <c r="L70" s="62"/>
      <c r="M70" s="62"/>
      <c r="N70" s="63"/>
      <c r="O70" s="335">
        <v>120.0</v>
      </c>
      <c r="P70" s="163"/>
      <c r="Q70" s="336">
        <v>107.5</v>
      </c>
      <c r="R70" s="163"/>
      <c r="S70" s="337">
        <v>107.5</v>
      </c>
      <c r="T70" s="163"/>
      <c r="U70" s="338"/>
      <c r="V70" s="163"/>
      <c r="W70" s="176"/>
      <c r="X70" s="176"/>
      <c r="Y70" s="180">
        <v>2.0</v>
      </c>
      <c r="Z70" s="180">
        <v>2.0</v>
      </c>
      <c r="AA70" s="360"/>
      <c r="AB70" s="176"/>
      <c r="AC70" s="176"/>
      <c r="AD70" s="176"/>
      <c r="AE70" s="176"/>
      <c r="AF70" s="176"/>
      <c r="AG70" s="331"/>
      <c r="AH70" s="176"/>
      <c r="AI70" s="176"/>
      <c r="AJ70" s="261">
        <v>4.0</v>
      </c>
      <c r="AK70" s="261">
        <v>4.0</v>
      </c>
      <c r="AL70" s="360"/>
      <c r="AM70" s="360"/>
      <c r="AN70" s="360"/>
      <c r="AO70" s="176"/>
      <c r="AP70" s="360"/>
      <c r="AQ70" s="176"/>
      <c r="AR70" s="331"/>
      <c r="AS70" s="176"/>
      <c r="AT70" s="176"/>
      <c r="AU70" s="360"/>
      <c r="AV70" s="360"/>
      <c r="AW70" s="360"/>
      <c r="AX70" s="360"/>
      <c r="AY70" s="360"/>
      <c r="AZ70" s="360"/>
      <c r="BA70" s="176"/>
      <c r="BB70" s="176"/>
      <c r="BC70" s="331"/>
      <c r="BD70" s="176"/>
      <c r="BE70" s="176"/>
      <c r="BF70" s="360"/>
      <c r="BG70" s="360"/>
      <c r="BH70" s="360"/>
      <c r="BI70" s="360"/>
      <c r="BJ70" s="360"/>
      <c r="BK70" s="176"/>
      <c r="BL70" s="360"/>
      <c r="BM70" s="176"/>
    </row>
    <row r="71">
      <c r="A71" s="165"/>
      <c r="B71" s="166"/>
      <c r="C71" s="165"/>
      <c r="E71" s="166"/>
      <c r="F71" s="341"/>
      <c r="G71" s="342"/>
      <c r="H71" s="342"/>
      <c r="I71" s="342"/>
      <c r="J71" s="342"/>
      <c r="K71" s="342"/>
      <c r="L71" s="342"/>
      <c r="M71" s="342"/>
      <c r="N71" s="343"/>
      <c r="O71" s="335">
        <v>130.0</v>
      </c>
      <c r="P71" s="163"/>
      <c r="Q71" s="344"/>
      <c r="R71" s="163"/>
      <c r="S71" s="273"/>
      <c r="T71" s="163"/>
      <c r="U71" s="338"/>
      <c r="V71" s="163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331"/>
      <c r="AH71" s="176"/>
      <c r="AI71" s="176"/>
      <c r="AJ71" s="176"/>
      <c r="AK71" s="360"/>
      <c r="AL71" s="176"/>
      <c r="AM71" s="360"/>
      <c r="AN71" s="176"/>
      <c r="AO71" s="176"/>
      <c r="AP71" s="176"/>
      <c r="AQ71" s="176"/>
      <c r="AR71" s="331"/>
      <c r="AS71" s="176"/>
      <c r="AT71" s="176"/>
      <c r="AU71" s="176"/>
      <c r="AV71" s="360"/>
      <c r="AW71" s="176"/>
      <c r="AX71" s="360"/>
      <c r="AY71" s="176"/>
      <c r="AZ71" s="360"/>
      <c r="BA71" s="176"/>
      <c r="BB71" s="176"/>
      <c r="BC71" s="331"/>
      <c r="BD71" s="176"/>
      <c r="BE71" s="176"/>
      <c r="BF71" s="176"/>
      <c r="BG71" s="360"/>
      <c r="BH71" s="360"/>
      <c r="BI71" s="360"/>
      <c r="BJ71" s="176"/>
      <c r="BK71" s="176"/>
      <c r="BL71" s="176"/>
      <c r="BM71" s="176"/>
    </row>
    <row r="72">
      <c r="A72" s="165"/>
      <c r="B72" s="166"/>
      <c r="C72" s="165"/>
      <c r="E72" s="166"/>
      <c r="F72" s="345"/>
      <c r="G72" s="346"/>
      <c r="H72" s="346"/>
      <c r="I72" s="346"/>
      <c r="J72" s="346"/>
      <c r="K72" s="346"/>
      <c r="L72" s="346"/>
      <c r="M72" s="346"/>
      <c r="N72" s="347"/>
      <c r="O72" s="335">
        <v>135.0</v>
      </c>
      <c r="P72" s="163"/>
      <c r="Q72" s="344"/>
      <c r="R72" s="163"/>
      <c r="S72" s="273"/>
      <c r="T72" s="163"/>
      <c r="U72" s="338"/>
      <c r="V72" s="163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331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331"/>
      <c r="AS72" s="215"/>
      <c r="AT72" s="215"/>
      <c r="AU72" s="215"/>
      <c r="AV72" s="215"/>
      <c r="AW72" s="392"/>
      <c r="AX72" s="215"/>
      <c r="AY72" s="215"/>
      <c r="AZ72" s="215"/>
      <c r="BA72" s="215"/>
      <c r="BB72" s="215"/>
      <c r="BC72" s="331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</row>
    <row r="73">
      <c r="A73" s="165"/>
      <c r="B73" s="166"/>
      <c r="C73" s="171"/>
      <c r="D73" s="137"/>
      <c r="E73" s="138"/>
      <c r="F73" s="348"/>
      <c r="G73" s="348"/>
      <c r="H73" s="348"/>
      <c r="I73" s="348"/>
      <c r="J73" s="348"/>
      <c r="K73" s="348"/>
      <c r="L73" s="348"/>
      <c r="M73" s="348"/>
      <c r="N73" s="348"/>
      <c r="O73" s="349" t="s">
        <v>110</v>
      </c>
      <c r="P73" s="62"/>
      <c r="Q73" s="62"/>
      <c r="R73" s="62"/>
      <c r="S73" s="62"/>
      <c r="T73" s="62"/>
      <c r="U73" s="62"/>
      <c r="V73" s="63"/>
      <c r="W73" s="349"/>
      <c r="X73" s="350"/>
      <c r="Y73" s="350"/>
      <c r="Z73" s="351"/>
      <c r="AA73" s="351"/>
      <c r="AB73" s="351"/>
      <c r="AC73" s="351"/>
      <c r="AD73" s="351"/>
      <c r="AE73" s="351"/>
      <c r="AF73" s="229"/>
      <c r="AG73" s="331"/>
      <c r="AH73" s="379"/>
      <c r="AI73" s="176"/>
      <c r="AJ73" s="176"/>
      <c r="AK73" s="176"/>
      <c r="AL73" s="176"/>
      <c r="AM73" s="176"/>
      <c r="AN73" s="176"/>
      <c r="AO73" s="176"/>
      <c r="AP73" s="176"/>
      <c r="AQ73" s="244"/>
      <c r="AR73" s="331"/>
      <c r="AS73" s="379"/>
      <c r="AT73" s="176"/>
      <c r="AU73" s="176"/>
      <c r="AV73" s="176"/>
      <c r="AW73" s="176"/>
      <c r="AX73" s="176"/>
      <c r="AY73" s="176"/>
      <c r="AZ73" s="176"/>
      <c r="BA73" s="176"/>
      <c r="BB73" s="244"/>
      <c r="BC73" s="331"/>
      <c r="BD73" s="379"/>
      <c r="BE73" s="176"/>
      <c r="BF73" s="176"/>
      <c r="BG73" s="176"/>
      <c r="BH73" s="176"/>
      <c r="BI73" s="176"/>
      <c r="BJ73" s="176"/>
      <c r="BK73" s="176"/>
      <c r="BL73" s="176"/>
      <c r="BM73" s="244"/>
    </row>
    <row r="74">
      <c r="A74" s="165"/>
      <c r="B74" s="166"/>
      <c r="C74" s="333" t="s">
        <v>58</v>
      </c>
      <c r="D74" s="162"/>
      <c r="E74" s="163"/>
      <c r="F74" s="334" t="s">
        <v>114</v>
      </c>
      <c r="G74" s="62"/>
      <c r="H74" s="62"/>
      <c r="I74" s="62"/>
      <c r="J74" s="62"/>
      <c r="K74" s="62"/>
      <c r="L74" s="62"/>
      <c r="M74" s="62"/>
      <c r="N74" s="63"/>
      <c r="O74" s="255">
        <v>110.0</v>
      </c>
      <c r="P74" s="163"/>
      <c r="Q74" s="336">
        <v>105.0</v>
      </c>
      <c r="R74" s="163"/>
      <c r="S74" s="337">
        <v>115.0</v>
      </c>
      <c r="T74" s="163"/>
      <c r="U74" s="353">
        <v>120.0</v>
      </c>
      <c r="V74" s="163"/>
      <c r="W74" s="180">
        <v>5.0</v>
      </c>
      <c r="X74" s="176"/>
      <c r="Y74" s="176"/>
      <c r="Z74" s="176"/>
      <c r="AA74" s="176"/>
      <c r="AB74" s="176"/>
      <c r="AC74" s="176"/>
      <c r="AD74" s="176"/>
      <c r="AE74" s="176"/>
      <c r="AF74" s="176"/>
      <c r="AG74" s="331"/>
      <c r="AH74" s="238">
        <v>6.0</v>
      </c>
      <c r="AI74" s="176"/>
      <c r="AJ74" s="176"/>
      <c r="AK74" s="176"/>
      <c r="AL74" s="238">
        <v>6.0</v>
      </c>
      <c r="AM74" s="176"/>
      <c r="AN74" s="176"/>
      <c r="AO74" s="176"/>
      <c r="AP74" s="176"/>
      <c r="AQ74" s="176"/>
      <c r="AR74" s="331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331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</row>
    <row r="75">
      <c r="A75" s="165"/>
      <c r="B75" s="166"/>
      <c r="C75" s="165"/>
      <c r="E75" s="166"/>
      <c r="F75" s="339" t="s">
        <v>115</v>
      </c>
      <c r="G75" s="162"/>
      <c r="H75" s="162"/>
      <c r="I75" s="162"/>
      <c r="J75" s="162"/>
      <c r="K75" s="162"/>
      <c r="L75" s="162"/>
      <c r="M75" s="162"/>
      <c r="N75" s="163"/>
      <c r="O75" s="255">
        <v>125.0</v>
      </c>
      <c r="P75" s="163"/>
      <c r="Q75" s="336">
        <v>120.0</v>
      </c>
      <c r="R75" s="163"/>
      <c r="S75" s="337">
        <v>132.5</v>
      </c>
      <c r="T75" s="163"/>
      <c r="U75" s="353">
        <v>137.5</v>
      </c>
      <c r="V75" s="163"/>
      <c r="W75" s="176"/>
      <c r="X75" s="180">
        <v>4.0</v>
      </c>
      <c r="Y75" s="176"/>
      <c r="Z75" s="176"/>
      <c r="AA75" s="176"/>
      <c r="AB75" s="176"/>
      <c r="AC75" s="176"/>
      <c r="AD75" s="176"/>
      <c r="AE75" s="176"/>
      <c r="AF75" s="176"/>
      <c r="AG75" s="331"/>
      <c r="AH75" s="176"/>
      <c r="AI75" s="238">
        <v>4.0</v>
      </c>
      <c r="AJ75" s="176"/>
      <c r="AK75" s="176"/>
      <c r="AL75" s="176"/>
      <c r="AM75" s="176"/>
      <c r="AN75" s="176"/>
      <c r="AO75" s="176"/>
      <c r="AP75" s="176"/>
      <c r="AQ75" s="176"/>
      <c r="AR75" s="331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331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</row>
    <row r="76">
      <c r="A76" s="165"/>
      <c r="B76" s="166"/>
      <c r="C76" s="165"/>
      <c r="E76" s="166"/>
      <c r="F76" s="340" t="s">
        <v>116</v>
      </c>
      <c r="G76" s="62"/>
      <c r="H76" s="62"/>
      <c r="I76" s="62"/>
      <c r="J76" s="62"/>
      <c r="K76" s="62"/>
      <c r="L76" s="62"/>
      <c r="M76" s="62"/>
      <c r="N76" s="63"/>
      <c r="O76" s="255">
        <v>140.0</v>
      </c>
      <c r="P76" s="163"/>
      <c r="Q76" s="336">
        <v>132.5</v>
      </c>
      <c r="R76" s="163"/>
      <c r="S76" s="337">
        <v>147.5</v>
      </c>
      <c r="T76" s="163"/>
      <c r="U76" s="353">
        <v>155.0</v>
      </c>
      <c r="V76" s="163"/>
      <c r="W76" s="176"/>
      <c r="X76" s="176"/>
      <c r="Y76" s="180">
        <v>3.0</v>
      </c>
      <c r="Z76" s="180">
        <v>3.0</v>
      </c>
      <c r="AA76" s="180">
        <v>3.0</v>
      </c>
      <c r="AB76" s="176"/>
      <c r="AC76" s="176"/>
      <c r="AD76" s="176"/>
      <c r="AE76" s="176"/>
      <c r="AF76" s="176"/>
      <c r="AG76" s="331"/>
      <c r="AH76" s="176"/>
      <c r="AI76" s="176"/>
      <c r="AJ76" s="238">
        <v>3.0</v>
      </c>
      <c r="AK76" s="238">
        <v>3.0</v>
      </c>
      <c r="AL76" s="360"/>
      <c r="AM76" s="176"/>
      <c r="AN76" s="176"/>
      <c r="AO76" s="176"/>
      <c r="AP76" s="176"/>
      <c r="AQ76" s="176"/>
      <c r="AR76" s="331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331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</row>
    <row r="77">
      <c r="A77" s="165"/>
      <c r="B77" s="166"/>
      <c r="C77" s="165"/>
      <c r="E77" s="166"/>
      <c r="F77" s="361"/>
      <c r="G77" s="361"/>
      <c r="H77" s="361"/>
      <c r="I77" s="361"/>
      <c r="J77" s="361"/>
      <c r="K77" s="361"/>
      <c r="L77" s="361"/>
      <c r="M77" s="361"/>
      <c r="N77" s="362"/>
      <c r="O77" s="255">
        <v>152.5</v>
      </c>
      <c r="P77" s="163"/>
      <c r="Q77" s="336">
        <v>145.0</v>
      </c>
      <c r="R77" s="163"/>
      <c r="S77" s="337">
        <v>160.0</v>
      </c>
      <c r="T77" s="163"/>
      <c r="U77" s="353">
        <v>167.5</v>
      </c>
      <c r="V77" s="163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331"/>
      <c r="AH77" s="176"/>
      <c r="AI77" s="176"/>
      <c r="AJ77" s="176"/>
      <c r="AK77" s="180"/>
      <c r="AL77" s="176"/>
      <c r="AM77" s="176"/>
      <c r="AN77" s="176"/>
      <c r="AO77" s="176"/>
      <c r="AP77" s="176"/>
      <c r="AQ77" s="176"/>
      <c r="AR77" s="331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331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</row>
    <row r="78">
      <c r="A78" s="165"/>
      <c r="B78" s="166"/>
      <c r="C78" s="165"/>
      <c r="E78" s="166"/>
      <c r="F78" s="348"/>
      <c r="G78" s="348"/>
      <c r="H78" s="348"/>
      <c r="I78" s="348"/>
      <c r="J78" s="348"/>
      <c r="K78" s="348"/>
      <c r="L78" s="348"/>
      <c r="M78" s="348"/>
      <c r="N78" s="355"/>
      <c r="O78" s="255">
        <v>157.5</v>
      </c>
      <c r="P78" s="163"/>
      <c r="Q78" s="344"/>
      <c r="R78" s="163"/>
      <c r="S78" s="273"/>
      <c r="T78" s="163"/>
      <c r="U78" s="353">
        <v>172.5</v>
      </c>
      <c r="V78" s="163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331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331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331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</row>
    <row r="79">
      <c r="A79" s="165"/>
      <c r="B79" s="166"/>
      <c r="C79" s="171"/>
      <c r="D79" s="137"/>
      <c r="E79" s="138"/>
      <c r="F79" s="363"/>
      <c r="G79" s="62"/>
      <c r="H79" s="62"/>
      <c r="I79" s="62"/>
      <c r="J79" s="62"/>
      <c r="K79" s="62"/>
      <c r="L79" s="62"/>
      <c r="M79" s="62"/>
      <c r="N79" s="63"/>
      <c r="O79" s="349" t="s">
        <v>110</v>
      </c>
      <c r="P79" s="62"/>
      <c r="Q79" s="62"/>
      <c r="R79" s="62"/>
      <c r="S79" s="62"/>
      <c r="T79" s="62"/>
      <c r="U79" s="62"/>
      <c r="V79" s="63"/>
      <c r="W79" s="385"/>
      <c r="X79" s="383"/>
      <c r="Y79" s="383"/>
      <c r="Z79" s="383"/>
      <c r="AA79" s="383"/>
      <c r="AB79" s="383"/>
      <c r="AC79" s="383"/>
      <c r="AD79" s="383"/>
      <c r="AE79" s="383"/>
      <c r="AF79" s="386"/>
      <c r="AG79" s="331"/>
      <c r="AH79" s="385"/>
      <c r="AI79" s="383"/>
      <c r="AJ79" s="383"/>
      <c r="AK79" s="383"/>
      <c r="AL79" s="383"/>
      <c r="AM79" s="383"/>
      <c r="AN79" s="383"/>
      <c r="AO79" s="383"/>
      <c r="AP79" s="383"/>
      <c r="AQ79" s="386"/>
      <c r="AR79" s="331"/>
      <c r="AS79" s="385"/>
      <c r="AT79" s="383"/>
      <c r="AU79" s="383"/>
      <c r="AV79" s="383"/>
      <c r="AW79" s="383"/>
      <c r="AX79" s="383"/>
      <c r="AY79" s="383"/>
      <c r="AZ79" s="383"/>
      <c r="BA79" s="383"/>
      <c r="BB79" s="386"/>
      <c r="BC79" s="331"/>
      <c r="BD79" s="385"/>
      <c r="BE79" s="383"/>
      <c r="BF79" s="383"/>
      <c r="BG79" s="383"/>
      <c r="BH79" s="383"/>
      <c r="BI79" s="383"/>
      <c r="BJ79" s="383"/>
      <c r="BK79" s="383"/>
      <c r="BL79" s="383"/>
      <c r="BM79" s="386"/>
    </row>
    <row r="80">
      <c r="A80" s="165"/>
      <c r="B80" s="166"/>
      <c r="C80" s="333"/>
      <c r="D80" s="162"/>
      <c r="E80" s="163"/>
      <c r="F80" s="381"/>
      <c r="G80" s="381"/>
      <c r="H80" s="381"/>
      <c r="I80" s="381"/>
      <c r="J80" s="381"/>
      <c r="K80" s="381"/>
      <c r="L80" s="381"/>
      <c r="M80" s="381"/>
      <c r="N80" s="382"/>
      <c r="O80" s="220"/>
      <c r="P80" s="222"/>
      <c r="Q80" s="220"/>
      <c r="R80" s="222"/>
      <c r="S80" s="220"/>
      <c r="T80" s="222"/>
      <c r="U80" s="383"/>
      <c r="V80" s="383"/>
      <c r="W80" s="380" t="str">
        <f t="array" ref="W80">
IF(Input!B201="SQ A", INDIRECT("squat1A"), 
IF(Input!B201="SQ B", INDIRECT("squat1B"), 
IF(Input!B201="SQ C", INDIRECT("squat1C"), 
IF(Input!B201="BP A", INDIRECT("benchpress1A"), 
IF(Input!B201="BP B", INDIRECT("benchpress1B"), 
IF(Input!B201="BP C", INDIRECT("benchpress1C"), 
IF(Input!B201="DL A", INDIRECT("deadlift1A"), 
IF(Input!B201="DL B", INDIRECT("deadlift1B"), 
IF(Input!B201="DL C", INDIRECT("deadlift1C"), 
"")))))))))</f>
        <v/>
      </c>
      <c r="X80" s="387"/>
      <c r="Y80" s="387"/>
      <c r="Z80" s="387"/>
      <c r="AA80" s="387"/>
      <c r="AB80" s="387"/>
      <c r="AC80" s="387"/>
      <c r="AD80" s="387"/>
      <c r="AE80" s="387"/>
      <c r="AF80" s="388"/>
      <c r="AG80" s="331"/>
      <c r="AH80" s="380" t="str">
        <f t="array" ref="AH80">
IF(Input!B201="SQ A", INDIRECT("squat2A"), 
IF(Input!B201="SQ B", INDIRECT("squat2B"), 
IF(Input!B201="SQ C", INDIRECT("squat2C"), 
IF(Input!B201="BP A", INDIRECT("benchpress2A"), 
IF(Input!B201="BP B", INDIRECT("benchpress2B"), 
IF(Input!B201="BP C", INDIRECT("benchpress2C"), 
IF(Input!B201="DL A", INDIRECT("deadlift2A"), 
IF(Input!B201="DL B", INDIRECT("deadlift2B"), 
IF(Input!B201="DL C", INDIRECT("deadlift2C"), 
"")))))))))</f>
        <v/>
      </c>
      <c r="AI80" s="387"/>
      <c r="AJ80" s="387"/>
      <c r="AK80" s="387"/>
      <c r="AL80" s="387"/>
      <c r="AM80" s="387"/>
      <c r="AN80" s="387"/>
      <c r="AO80" s="387"/>
      <c r="AP80" s="387"/>
      <c r="AQ80" s="388"/>
      <c r="AR80" s="331"/>
      <c r="AS80" s="380" t="str">
        <f t="array" ref="AS80">
IF(Input!B201="SQ A", INDIRECT("squat3A"), 
IF(Input!B201="SQ B", INDIRECT("squat3B"), 
IF(Input!B201="SQ C", INDIRECT("squat3C"), 
IF(Input!B201="BP A", INDIRECT("benchpress3A"), 
IF(Input!B201="BP B", INDIRECT("benchpress3B"), 
IF(Input!B201="BP C", INDIRECT("benchpress3C"), 
IF(Input!B201="DL A", INDIRECT("deadlift3A"), 
IF(Input!B201="DL B", INDIRECT("deadlift3B"), 
IF(Input!B201="DL C", INDIRECT("deadlift3C"), 
"")))))))))</f>
        <v/>
      </c>
      <c r="AT80" s="387"/>
      <c r="AU80" s="387"/>
      <c r="AV80" s="387"/>
      <c r="AW80" s="387"/>
      <c r="AX80" s="387"/>
      <c r="AY80" s="387"/>
      <c r="AZ80" s="387"/>
      <c r="BA80" s="387"/>
      <c r="BB80" s="388"/>
      <c r="BC80" s="331"/>
      <c r="BD80" s="380" t="str">
        <f t="array" ref="BD80">
IF(Input!B201="SQ A", INDIRECT("squat4A"), 
IF(Input!B201="SQ B", INDIRECT("squat4B"), 
IF(Input!B201="SQ C", INDIRECT("squat4C"), 
IF(Input!B201="BP A", INDIRECT("benchpress4A"), 
IF(Input!B201="BP B", INDIRECT("benchpress4B"), 
IF(Input!B201="BP C", INDIRECT("benchpress4C"), 
IF(Input!B201="DL A", INDIRECT("deadlift4A"), 
IF(Input!B201="DL B", INDIRECT("deadlift4B"), 
IF(Input!B201="DL C", INDIRECT("deadlift4C"), 
"")))))))))</f>
        <v/>
      </c>
      <c r="BE80" s="387"/>
      <c r="BF80" s="387"/>
      <c r="BG80" s="387"/>
      <c r="BH80" s="387"/>
      <c r="BI80" s="387"/>
      <c r="BJ80" s="387"/>
      <c r="BK80" s="387"/>
      <c r="BL80" s="387"/>
      <c r="BM80" s="388"/>
    </row>
    <row r="81">
      <c r="A81" s="165"/>
      <c r="B81" s="166"/>
      <c r="C81" s="165"/>
      <c r="E81" s="166"/>
      <c r="F81" s="361"/>
      <c r="G81" s="361"/>
      <c r="H81" s="361"/>
      <c r="I81" s="361"/>
      <c r="J81" s="361"/>
      <c r="K81" s="361"/>
      <c r="L81" s="361"/>
      <c r="M81" s="361"/>
      <c r="N81" s="362"/>
      <c r="O81" s="209"/>
      <c r="P81" s="244"/>
      <c r="Q81" s="209"/>
      <c r="R81" s="244"/>
      <c r="S81" s="209"/>
      <c r="T81" s="244"/>
      <c r="U81" s="383"/>
      <c r="V81" s="383"/>
      <c r="W81" s="385"/>
      <c r="X81" s="383"/>
      <c r="Y81" s="383"/>
      <c r="Z81" s="383"/>
      <c r="AA81" s="383"/>
      <c r="AB81" s="383"/>
      <c r="AC81" s="383"/>
      <c r="AD81" s="383"/>
      <c r="AE81" s="383"/>
      <c r="AF81" s="386"/>
      <c r="AG81" s="331"/>
      <c r="AH81" s="385"/>
      <c r="AI81" s="383"/>
      <c r="AJ81" s="383"/>
      <c r="AK81" s="383"/>
      <c r="AL81" s="383"/>
      <c r="AM81" s="383"/>
      <c r="AN81" s="383"/>
      <c r="AO81" s="383"/>
      <c r="AP81" s="383"/>
      <c r="AQ81" s="386"/>
      <c r="AR81" s="331"/>
      <c r="AS81" s="385"/>
      <c r="AT81" s="383"/>
      <c r="AU81" s="383"/>
      <c r="AV81" s="383"/>
      <c r="AW81" s="383"/>
      <c r="AX81" s="383"/>
      <c r="AY81" s="383"/>
      <c r="AZ81" s="383"/>
      <c r="BA81" s="383"/>
      <c r="BB81" s="386"/>
      <c r="BC81" s="331"/>
      <c r="BD81" s="385"/>
      <c r="BE81" s="383"/>
      <c r="BF81" s="383"/>
      <c r="BG81" s="383"/>
      <c r="BH81" s="383"/>
      <c r="BI81" s="383"/>
      <c r="BJ81" s="383"/>
      <c r="BK81" s="383"/>
      <c r="BL81" s="383"/>
      <c r="BM81" s="386"/>
    </row>
    <row r="82">
      <c r="A82" s="165"/>
      <c r="B82" s="166"/>
      <c r="C82" s="165"/>
      <c r="E82" s="166"/>
      <c r="F82" s="361"/>
      <c r="G82" s="361"/>
      <c r="H82" s="361"/>
      <c r="I82" s="361"/>
      <c r="J82" s="361"/>
      <c r="K82" s="361"/>
      <c r="L82" s="361"/>
      <c r="M82" s="361"/>
      <c r="N82" s="362"/>
      <c r="O82" s="209"/>
      <c r="P82" s="244"/>
      <c r="Q82" s="209"/>
      <c r="R82" s="244"/>
      <c r="S82" s="209"/>
      <c r="T82" s="244"/>
      <c r="U82" s="383"/>
      <c r="V82" s="383"/>
      <c r="W82" s="385"/>
      <c r="X82" s="383"/>
      <c r="Y82" s="383"/>
      <c r="Z82" s="383"/>
      <c r="AA82" s="383"/>
      <c r="AB82" s="383"/>
      <c r="AC82" s="383"/>
      <c r="AD82" s="383"/>
      <c r="AE82" s="383"/>
      <c r="AF82" s="386"/>
      <c r="AG82" s="331"/>
      <c r="AH82" s="385"/>
      <c r="AI82" s="383"/>
      <c r="AJ82" s="383"/>
      <c r="AK82" s="383"/>
      <c r="AL82" s="383"/>
      <c r="AM82" s="383"/>
      <c r="AN82" s="383"/>
      <c r="AO82" s="383"/>
      <c r="AP82" s="383"/>
      <c r="AQ82" s="386"/>
      <c r="AR82" s="331"/>
      <c r="AS82" s="385"/>
      <c r="AT82" s="383"/>
      <c r="AU82" s="383"/>
      <c r="AV82" s="383"/>
      <c r="AW82" s="383"/>
      <c r="AX82" s="383"/>
      <c r="AY82" s="383"/>
      <c r="AZ82" s="383"/>
      <c r="BA82" s="383"/>
      <c r="BB82" s="386"/>
      <c r="BC82" s="331"/>
      <c r="BD82" s="385"/>
      <c r="BE82" s="383"/>
      <c r="BF82" s="383"/>
      <c r="BG82" s="383"/>
      <c r="BH82" s="383"/>
      <c r="BI82" s="383"/>
      <c r="BJ82" s="383"/>
      <c r="BK82" s="383"/>
      <c r="BL82" s="383"/>
      <c r="BM82" s="386"/>
    </row>
    <row r="83">
      <c r="A83" s="165"/>
      <c r="B83" s="166"/>
      <c r="C83" s="165"/>
      <c r="E83" s="166"/>
      <c r="F83" s="361"/>
      <c r="G83" s="361"/>
      <c r="H83" s="361"/>
      <c r="I83" s="361"/>
      <c r="J83" s="361"/>
      <c r="K83" s="361"/>
      <c r="L83" s="361"/>
      <c r="M83" s="361"/>
      <c r="N83" s="362"/>
      <c r="O83" s="209"/>
      <c r="P83" s="244"/>
      <c r="Q83" s="209"/>
      <c r="R83" s="244"/>
      <c r="S83" s="209"/>
      <c r="T83" s="244"/>
      <c r="U83" s="383"/>
      <c r="V83" s="383"/>
      <c r="W83" s="385"/>
      <c r="X83" s="383"/>
      <c r="Y83" s="383"/>
      <c r="Z83" s="383"/>
      <c r="AA83" s="383"/>
      <c r="AB83" s="383"/>
      <c r="AC83" s="383"/>
      <c r="AD83" s="383"/>
      <c r="AE83" s="383"/>
      <c r="AF83" s="386"/>
      <c r="AG83" s="331"/>
      <c r="AH83" s="385"/>
      <c r="AI83" s="383"/>
      <c r="AJ83" s="383"/>
      <c r="AK83" s="383"/>
      <c r="AL83" s="383"/>
      <c r="AM83" s="383"/>
      <c r="AN83" s="383"/>
      <c r="AO83" s="383"/>
      <c r="AP83" s="383"/>
      <c r="AQ83" s="386"/>
      <c r="AR83" s="331"/>
      <c r="AS83" s="385"/>
      <c r="AT83" s="383"/>
      <c r="AU83" s="383"/>
      <c r="AV83" s="383"/>
      <c r="AW83" s="383"/>
      <c r="AX83" s="383"/>
      <c r="AY83" s="383"/>
      <c r="AZ83" s="383"/>
      <c r="BA83" s="383"/>
      <c r="BB83" s="386"/>
      <c r="BC83" s="331"/>
      <c r="BD83" s="385"/>
      <c r="BE83" s="383"/>
      <c r="BF83" s="383"/>
      <c r="BG83" s="383"/>
      <c r="BH83" s="383"/>
      <c r="BI83" s="383"/>
      <c r="BJ83" s="383"/>
      <c r="BK83" s="383"/>
      <c r="BL83" s="383"/>
      <c r="BM83" s="386"/>
    </row>
    <row r="84">
      <c r="A84" s="165"/>
      <c r="B84" s="166"/>
      <c r="C84" s="165"/>
      <c r="E84" s="166"/>
      <c r="F84" s="348"/>
      <c r="G84" s="348"/>
      <c r="H84" s="348"/>
      <c r="I84" s="348"/>
      <c r="J84" s="348"/>
      <c r="K84" s="348"/>
      <c r="L84" s="348"/>
      <c r="M84" s="348"/>
      <c r="N84" s="355"/>
      <c r="O84" s="216"/>
      <c r="P84" s="217"/>
      <c r="Q84" s="216"/>
      <c r="R84" s="217"/>
      <c r="S84" s="216"/>
      <c r="T84" s="217"/>
      <c r="U84" s="383"/>
      <c r="V84" s="383"/>
      <c r="W84" s="389"/>
      <c r="X84" s="390"/>
      <c r="Y84" s="390"/>
      <c r="Z84" s="390"/>
      <c r="AA84" s="390"/>
      <c r="AB84" s="390"/>
      <c r="AC84" s="390"/>
      <c r="AD84" s="390"/>
      <c r="AE84" s="390"/>
      <c r="AF84" s="391"/>
      <c r="AG84" s="331"/>
      <c r="AH84" s="389"/>
      <c r="AI84" s="390"/>
      <c r="AJ84" s="390"/>
      <c r="AK84" s="390"/>
      <c r="AL84" s="390"/>
      <c r="AM84" s="390"/>
      <c r="AN84" s="390"/>
      <c r="AO84" s="390"/>
      <c r="AP84" s="390"/>
      <c r="AQ84" s="391"/>
      <c r="AR84" s="331"/>
      <c r="AS84" s="389"/>
      <c r="AT84" s="390"/>
      <c r="AU84" s="390"/>
      <c r="AV84" s="390"/>
      <c r="AW84" s="390"/>
      <c r="AX84" s="390"/>
      <c r="AY84" s="390"/>
      <c r="AZ84" s="390"/>
      <c r="BA84" s="390"/>
      <c r="BB84" s="391"/>
      <c r="BC84" s="331"/>
      <c r="BD84" s="389"/>
      <c r="BE84" s="390"/>
      <c r="BF84" s="390"/>
      <c r="BG84" s="390"/>
      <c r="BH84" s="390"/>
      <c r="BI84" s="390"/>
      <c r="BJ84" s="390"/>
      <c r="BK84" s="390"/>
      <c r="BL84" s="390"/>
      <c r="BM84" s="391"/>
    </row>
    <row r="85">
      <c r="A85" s="165"/>
      <c r="B85" s="166"/>
      <c r="C85" s="171"/>
      <c r="D85" s="137"/>
      <c r="E85" s="138"/>
      <c r="F85" s="363"/>
      <c r="G85" s="62"/>
      <c r="H85" s="62"/>
      <c r="I85" s="62"/>
      <c r="J85" s="62"/>
      <c r="K85" s="62"/>
      <c r="L85" s="62"/>
      <c r="M85" s="62"/>
      <c r="N85" s="63"/>
      <c r="O85" s="349" t="s">
        <v>110</v>
      </c>
      <c r="P85" s="62"/>
      <c r="Q85" s="62"/>
      <c r="R85" s="62"/>
      <c r="S85" s="62"/>
      <c r="T85" s="62"/>
      <c r="U85" s="62"/>
      <c r="V85" s="63"/>
      <c r="W85" s="364"/>
      <c r="X85" s="365"/>
      <c r="Y85" s="365"/>
      <c r="Z85" s="365"/>
      <c r="AA85" s="365"/>
      <c r="AB85" s="365"/>
      <c r="AC85" s="365"/>
      <c r="AD85" s="365"/>
      <c r="AE85" s="365"/>
      <c r="AF85" s="366"/>
      <c r="AG85" s="331"/>
      <c r="AH85" s="364"/>
      <c r="AI85" s="365"/>
      <c r="AJ85" s="365"/>
      <c r="AK85" s="365"/>
      <c r="AL85" s="365"/>
      <c r="AM85" s="365"/>
      <c r="AN85" s="365"/>
      <c r="AO85" s="365"/>
      <c r="AP85" s="365"/>
      <c r="AQ85" s="366"/>
      <c r="AR85" s="331"/>
      <c r="AS85" s="364"/>
      <c r="AT85" s="365"/>
      <c r="AU85" s="365"/>
      <c r="AV85" s="365"/>
      <c r="AW85" s="365"/>
      <c r="AX85" s="365"/>
      <c r="AY85" s="365"/>
      <c r="AZ85" s="365"/>
      <c r="BA85" s="365"/>
      <c r="BB85" s="366"/>
      <c r="BC85" s="331"/>
      <c r="BD85" s="364"/>
      <c r="BE85" s="365"/>
      <c r="BF85" s="365"/>
      <c r="BG85" s="365"/>
      <c r="BH85" s="365"/>
      <c r="BI85" s="365"/>
      <c r="BJ85" s="365"/>
      <c r="BK85" s="365"/>
      <c r="BL85" s="365"/>
      <c r="BM85" s="366"/>
    </row>
    <row r="86">
      <c r="A86" s="165"/>
      <c r="B86" s="166"/>
      <c r="C86" s="318" t="s">
        <v>126</v>
      </c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  <c r="AA86" s="367"/>
      <c r="AB86" s="367"/>
      <c r="AC86" s="367"/>
      <c r="AD86" s="367"/>
      <c r="AE86" s="367"/>
      <c r="AF86" s="368"/>
      <c r="AG86" s="331"/>
      <c r="AH86" s="372"/>
      <c r="AI86" s="372"/>
      <c r="AJ86" s="372"/>
      <c r="AK86" s="372"/>
      <c r="AL86" s="372"/>
      <c r="AM86" s="372"/>
      <c r="AN86" s="372"/>
      <c r="AO86" s="372"/>
      <c r="AP86" s="372"/>
      <c r="AQ86" s="372"/>
      <c r="AR86" s="331"/>
      <c r="AS86" s="372"/>
      <c r="AT86" s="372"/>
      <c r="AU86" s="372"/>
      <c r="AV86" s="372"/>
      <c r="AW86" s="372"/>
      <c r="AX86" s="372"/>
      <c r="AY86" s="372"/>
      <c r="AZ86" s="372"/>
      <c r="BA86" s="372"/>
      <c r="BB86" s="372"/>
      <c r="BC86" s="331"/>
      <c r="BD86" s="372"/>
      <c r="BE86" s="372"/>
      <c r="BF86" s="372"/>
      <c r="BG86" s="372"/>
      <c r="BH86" s="372"/>
      <c r="BI86" s="372"/>
      <c r="BJ86" s="372"/>
      <c r="BK86" s="372"/>
      <c r="BL86" s="372"/>
      <c r="BM86" s="373"/>
    </row>
    <row r="87">
      <c r="A87" s="165"/>
      <c r="B87" s="166"/>
      <c r="C87" s="370" t="s">
        <v>137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3"/>
      <c r="O87" s="371" t="s">
        <v>138</v>
      </c>
      <c r="P87" s="62"/>
      <c r="Q87" s="62"/>
      <c r="R87" s="62"/>
      <c r="S87" s="62"/>
      <c r="T87" s="62"/>
      <c r="U87" s="62"/>
      <c r="V87" s="63"/>
      <c r="W87" s="371"/>
      <c r="X87" s="374"/>
      <c r="Y87" s="374"/>
      <c r="Z87" s="393"/>
      <c r="AA87" s="393"/>
      <c r="AB87" s="372"/>
      <c r="AC87" s="372"/>
      <c r="AD87" s="372"/>
      <c r="AE87" s="372"/>
      <c r="AF87" s="373"/>
      <c r="AG87" s="331"/>
      <c r="AH87" s="374"/>
      <c r="AI87" s="374"/>
      <c r="AJ87" s="374"/>
      <c r="AK87" s="372"/>
      <c r="AL87" s="372"/>
      <c r="AM87" s="372"/>
      <c r="AN87" s="372"/>
      <c r="AO87" s="372"/>
      <c r="AP87" s="372"/>
      <c r="AQ87" s="372"/>
      <c r="AR87" s="331"/>
      <c r="AS87" s="374"/>
      <c r="AT87" s="374"/>
      <c r="AU87" s="374"/>
      <c r="AV87" s="372"/>
      <c r="AW87" s="372"/>
      <c r="AX87" s="372"/>
      <c r="AY87" s="372"/>
      <c r="AZ87" s="372"/>
      <c r="BA87" s="372"/>
      <c r="BB87" s="372"/>
      <c r="BC87" s="331"/>
      <c r="BD87" s="374"/>
      <c r="BE87" s="374"/>
      <c r="BF87" s="374"/>
      <c r="BG87" s="372"/>
      <c r="BH87" s="372"/>
      <c r="BI87" s="372"/>
      <c r="BJ87" s="372"/>
      <c r="BK87" s="372"/>
      <c r="BL87" s="372"/>
      <c r="BM87" s="373"/>
    </row>
    <row r="88">
      <c r="A88" s="165"/>
      <c r="B88" s="166"/>
      <c r="C88" s="370" t="s">
        <v>139</v>
      </c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3"/>
      <c r="O88" s="375" t="s">
        <v>140</v>
      </c>
      <c r="P88" s="62"/>
      <c r="Q88" s="62"/>
      <c r="R88" s="62"/>
      <c r="S88" s="62"/>
      <c r="T88" s="62"/>
      <c r="U88" s="62"/>
      <c r="V88" s="63"/>
      <c r="W88" s="371"/>
      <c r="X88" s="374"/>
      <c r="Y88" s="374"/>
      <c r="Z88" s="374"/>
      <c r="AA88" s="374"/>
      <c r="AB88" s="374"/>
      <c r="AC88" s="374"/>
      <c r="AD88" s="374"/>
      <c r="AE88" s="374"/>
      <c r="AF88" s="376"/>
      <c r="AG88" s="377"/>
      <c r="AH88" s="371"/>
      <c r="AI88" s="374"/>
      <c r="AJ88" s="374"/>
      <c r="AK88" s="374"/>
      <c r="AL88" s="374"/>
      <c r="AM88" s="374"/>
      <c r="AN88" s="374"/>
      <c r="AO88" s="374"/>
      <c r="AP88" s="374"/>
      <c r="AQ88" s="376"/>
      <c r="AR88" s="377"/>
      <c r="AS88" s="371"/>
      <c r="AT88" s="374"/>
      <c r="AU88" s="374"/>
      <c r="AV88" s="374"/>
      <c r="AW88" s="374"/>
      <c r="AX88" s="374"/>
      <c r="AY88" s="374"/>
      <c r="AZ88" s="374"/>
      <c r="BA88" s="374"/>
      <c r="BB88" s="376"/>
      <c r="BC88" s="377"/>
      <c r="BD88" s="371"/>
      <c r="BE88" s="374"/>
      <c r="BF88" s="374"/>
      <c r="BG88" s="374"/>
      <c r="BH88" s="374"/>
      <c r="BI88" s="374"/>
      <c r="BJ88" s="374"/>
      <c r="BK88" s="374"/>
      <c r="BL88" s="374"/>
      <c r="BM88" s="376"/>
    </row>
    <row r="89">
      <c r="A89" s="165"/>
      <c r="B89" s="166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8"/>
      <c r="BB89" s="248"/>
      <c r="BC89" s="248"/>
      <c r="BD89" s="248"/>
      <c r="BE89" s="248"/>
      <c r="BF89" s="248"/>
      <c r="BG89" s="248"/>
      <c r="BH89" s="248"/>
      <c r="BI89" s="248"/>
      <c r="BJ89" s="248"/>
      <c r="BK89" s="248"/>
      <c r="BL89" s="248"/>
      <c r="BM89" s="248"/>
    </row>
    <row r="90">
      <c r="A90" s="165"/>
      <c r="B90" s="166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8"/>
      <c r="BC90" s="248"/>
      <c r="BD90" s="248"/>
      <c r="BE90" s="248"/>
      <c r="BF90" s="248"/>
      <c r="BG90" s="248"/>
      <c r="BH90" s="248"/>
      <c r="BI90" s="248"/>
      <c r="BJ90" s="248"/>
      <c r="BK90" s="248"/>
      <c r="BL90" s="248"/>
      <c r="BM90" s="248"/>
    </row>
    <row r="91">
      <c r="A91" s="165"/>
      <c r="B91" s="166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48"/>
      <c r="AZ91" s="248"/>
      <c r="BA91" s="248"/>
      <c r="BB91" s="248"/>
      <c r="BC91" s="248"/>
      <c r="BD91" s="248"/>
      <c r="BE91" s="248"/>
      <c r="BF91" s="248"/>
      <c r="BG91" s="248"/>
      <c r="BH91" s="248"/>
      <c r="BI91" s="248"/>
      <c r="BJ91" s="248"/>
      <c r="BK91" s="248"/>
      <c r="BL91" s="248"/>
      <c r="BM91" s="248"/>
    </row>
    <row r="92">
      <c r="A92" s="171"/>
      <c r="B92" s="13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329" t="s">
        <v>118</v>
      </c>
      <c r="X92" s="62"/>
      <c r="Y92" s="62"/>
      <c r="Z92" s="62"/>
      <c r="AA92" s="62"/>
      <c r="AB92" s="62"/>
      <c r="AC92" s="62"/>
      <c r="AD92" s="62"/>
      <c r="AE92" s="62"/>
      <c r="AF92" s="63"/>
      <c r="AG92" s="330"/>
      <c r="AH92" s="329" t="s">
        <v>119</v>
      </c>
      <c r="AI92" s="62"/>
      <c r="AJ92" s="62"/>
      <c r="AK92" s="62"/>
      <c r="AL92" s="62"/>
      <c r="AM92" s="62"/>
      <c r="AN92" s="62"/>
      <c r="AO92" s="62"/>
      <c r="AP92" s="62"/>
      <c r="AQ92" s="63"/>
      <c r="AR92" s="330"/>
      <c r="AS92" s="329" t="s">
        <v>120</v>
      </c>
      <c r="AT92" s="62"/>
      <c r="AU92" s="62"/>
      <c r="AV92" s="62"/>
      <c r="AW92" s="62"/>
      <c r="AX92" s="62"/>
      <c r="AY92" s="62"/>
      <c r="AZ92" s="62"/>
      <c r="BA92" s="62"/>
      <c r="BB92" s="63"/>
      <c r="BC92" s="330"/>
      <c r="BD92" s="329" t="s">
        <v>121</v>
      </c>
      <c r="BE92" s="62"/>
      <c r="BF92" s="62"/>
      <c r="BG92" s="62"/>
      <c r="BH92" s="62"/>
      <c r="BI92" s="62"/>
      <c r="BJ92" s="62"/>
      <c r="BK92" s="62"/>
      <c r="BL92" s="62"/>
      <c r="BM92" s="63"/>
    </row>
    <row r="93">
      <c r="A93" s="183" t="s">
        <v>122</v>
      </c>
      <c r="B93" s="163"/>
      <c r="C93" s="183" t="s">
        <v>79</v>
      </c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3"/>
      <c r="O93" s="183" t="s">
        <v>123</v>
      </c>
      <c r="P93" s="162"/>
      <c r="Q93" s="162"/>
      <c r="R93" s="162"/>
      <c r="S93" s="162"/>
      <c r="T93" s="162"/>
      <c r="U93" s="162"/>
      <c r="V93" s="163"/>
      <c r="W93" s="183" t="s">
        <v>96</v>
      </c>
      <c r="X93" s="162"/>
      <c r="Y93" s="162"/>
      <c r="Z93" s="162"/>
      <c r="AA93" s="162"/>
      <c r="AB93" s="162"/>
      <c r="AC93" s="162"/>
      <c r="AD93" s="162"/>
      <c r="AE93" s="162"/>
      <c r="AF93" s="163"/>
      <c r="AG93" s="394"/>
      <c r="AH93" s="183" t="s">
        <v>96</v>
      </c>
      <c r="AI93" s="162"/>
      <c r="AJ93" s="162"/>
      <c r="AK93" s="162"/>
      <c r="AL93" s="162"/>
      <c r="AM93" s="162"/>
      <c r="AN93" s="162"/>
      <c r="AO93" s="162"/>
      <c r="AP93" s="162"/>
      <c r="AQ93" s="163"/>
      <c r="AR93" s="394"/>
      <c r="AS93" s="183" t="s">
        <v>96</v>
      </c>
      <c r="AT93" s="162"/>
      <c r="AU93" s="162"/>
      <c r="AV93" s="162"/>
      <c r="AW93" s="162"/>
      <c r="AX93" s="162"/>
      <c r="AY93" s="162"/>
      <c r="AZ93" s="162"/>
      <c r="BA93" s="162"/>
      <c r="BB93" s="163"/>
      <c r="BC93" s="394"/>
      <c r="BD93" s="183" t="s">
        <v>96</v>
      </c>
      <c r="BE93" s="162"/>
      <c r="BF93" s="162"/>
      <c r="BG93" s="162"/>
      <c r="BH93" s="162"/>
      <c r="BI93" s="162"/>
      <c r="BJ93" s="162"/>
      <c r="BK93" s="162"/>
      <c r="BL93" s="162"/>
      <c r="BM93" s="163"/>
    </row>
    <row r="94">
      <c r="A94" s="171"/>
      <c r="B94" s="138"/>
      <c r="C94" s="171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8"/>
      <c r="O94" s="171"/>
      <c r="P94" s="137"/>
      <c r="Q94" s="137"/>
      <c r="R94" s="137"/>
      <c r="S94" s="137"/>
      <c r="T94" s="137"/>
      <c r="U94" s="137"/>
      <c r="V94" s="138"/>
      <c r="W94" s="178" t="s">
        <v>100</v>
      </c>
      <c r="X94" s="187" t="s">
        <v>101</v>
      </c>
      <c r="Y94" s="187" t="s">
        <v>102</v>
      </c>
      <c r="Z94" s="187" t="s">
        <v>103</v>
      </c>
      <c r="AA94" s="187" t="s">
        <v>104</v>
      </c>
      <c r="AB94" s="187" t="s">
        <v>105</v>
      </c>
      <c r="AC94" s="187" t="s">
        <v>106</v>
      </c>
      <c r="AD94" s="187" t="s">
        <v>107</v>
      </c>
      <c r="AE94" s="187" t="s">
        <v>108</v>
      </c>
      <c r="AF94" s="188" t="s">
        <v>109</v>
      </c>
      <c r="AG94" s="149"/>
      <c r="AH94" s="178" t="s">
        <v>100</v>
      </c>
      <c r="AI94" s="187" t="s">
        <v>101</v>
      </c>
      <c r="AJ94" s="187" t="s">
        <v>102</v>
      </c>
      <c r="AK94" s="187" t="s">
        <v>103</v>
      </c>
      <c r="AL94" s="187" t="s">
        <v>104</v>
      </c>
      <c r="AM94" s="187" t="s">
        <v>105</v>
      </c>
      <c r="AN94" s="187" t="s">
        <v>106</v>
      </c>
      <c r="AO94" s="187" t="s">
        <v>107</v>
      </c>
      <c r="AP94" s="187" t="s">
        <v>108</v>
      </c>
      <c r="AQ94" s="188" t="s">
        <v>109</v>
      </c>
      <c r="AR94" s="149"/>
      <c r="AS94" s="178" t="s">
        <v>100</v>
      </c>
      <c r="AT94" s="187" t="s">
        <v>101</v>
      </c>
      <c r="AU94" s="187" t="s">
        <v>102</v>
      </c>
      <c r="AV94" s="187" t="s">
        <v>103</v>
      </c>
      <c r="AW94" s="187" t="s">
        <v>104</v>
      </c>
      <c r="AX94" s="187" t="s">
        <v>105</v>
      </c>
      <c r="AY94" s="187" t="s">
        <v>106</v>
      </c>
      <c r="AZ94" s="187" t="s">
        <v>107</v>
      </c>
      <c r="BA94" s="187" t="s">
        <v>108</v>
      </c>
      <c r="BB94" s="188" t="s">
        <v>109</v>
      </c>
      <c r="BC94" s="149"/>
      <c r="BD94" s="178" t="s">
        <v>100</v>
      </c>
      <c r="BE94" s="187" t="s">
        <v>101</v>
      </c>
      <c r="BF94" s="187" t="s">
        <v>102</v>
      </c>
      <c r="BG94" s="187" t="s">
        <v>103</v>
      </c>
      <c r="BH94" s="187" t="s">
        <v>104</v>
      </c>
      <c r="BI94" s="187" t="s">
        <v>105</v>
      </c>
      <c r="BJ94" s="187" t="s">
        <v>106</v>
      </c>
      <c r="BK94" s="187" t="s">
        <v>107</v>
      </c>
      <c r="BL94" s="187" t="s">
        <v>108</v>
      </c>
      <c r="BM94" s="188" t="s">
        <v>109</v>
      </c>
    </row>
    <row r="95">
      <c r="A95" s="332" t="s">
        <v>141</v>
      </c>
      <c r="B95" s="163"/>
      <c r="C95" s="333" t="s">
        <v>3</v>
      </c>
      <c r="D95" s="162"/>
      <c r="E95" s="163"/>
      <c r="F95" s="334" t="s">
        <v>86</v>
      </c>
      <c r="G95" s="62"/>
      <c r="H95" s="62"/>
      <c r="I95" s="62"/>
      <c r="J95" s="62"/>
      <c r="K95" s="62"/>
      <c r="L95" s="62"/>
      <c r="M95" s="62"/>
      <c r="N95" s="63"/>
      <c r="O95" s="335">
        <v>90.0</v>
      </c>
      <c r="P95" s="163"/>
      <c r="Q95" s="336">
        <v>80.0</v>
      </c>
      <c r="R95" s="163"/>
      <c r="S95" s="337">
        <v>80.0</v>
      </c>
      <c r="T95" s="163"/>
      <c r="U95" s="338"/>
      <c r="V95" s="163"/>
      <c r="W95" s="180">
        <v>4.0</v>
      </c>
      <c r="X95" s="176"/>
      <c r="Y95" s="176"/>
      <c r="Z95" s="176"/>
      <c r="AA95" s="176"/>
      <c r="AB95" s="176"/>
      <c r="AC95" s="176"/>
      <c r="AD95" s="176"/>
      <c r="AE95" s="176"/>
      <c r="AF95" s="176"/>
      <c r="AG95" s="331"/>
      <c r="AH95" s="180">
        <v>4.0</v>
      </c>
      <c r="AI95" s="176"/>
      <c r="AJ95" s="176"/>
      <c r="AK95" s="176"/>
      <c r="AL95" s="180"/>
      <c r="AM95" s="176"/>
      <c r="AN95" s="360"/>
      <c r="AO95" s="176"/>
      <c r="AP95" s="176"/>
      <c r="AQ95" s="176"/>
      <c r="AR95" s="331"/>
      <c r="AS95" s="360"/>
      <c r="AT95" s="176"/>
      <c r="AU95" s="176"/>
      <c r="AV95" s="176"/>
      <c r="AW95" s="176"/>
      <c r="AX95" s="176"/>
      <c r="AY95" s="176"/>
      <c r="AZ95" s="176"/>
      <c r="BA95" s="176"/>
      <c r="BB95" s="176"/>
      <c r="BC95" s="331"/>
      <c r="BD95" s="360"/>
      <c r="BE95" s="176"/>
      <c r="BF95" s="176"/>
      <c r="BG95" s="360"/>
      <c r="BH95" s="176"/>
      <c r="BI95" s="360"/>
      <c r="BJ95" s="360"/>
      <c r="BK95" s="176"/>
      <c r="BL95" s="176"/>
      <c r="BM95" s="176"/>
    </row>
    <row r="96">
      <c r="A96" s="165"/>
      <c r="B96" s="166"/>
      <c r="C96" s="165"/>
      <c r="E96" s="166"/>
      <c r="F96" s="339" t="s">
        <v>87</v>
      </c>
      <c r="G96" s="162"/>
      <c r="H96" s="162"/>
      <c r="I96" s="162"/>
      <c r="J96" s="162"/>
      <c r="K96" s="162"/>
      <c r="L96" s="162"/>
      <c r="M96" s="162"/>
      <c r="N96" s="163"/>
      <c r="O96" s="335">
        <v>105.0</v>
      </c>
      <c r="P96" s="163"/>
      <c r="Q96" s="336">
        <v>95.0</v>
      </c>
      <c r="R96" s="163"/>
      <c r="S96" s="337">
        <v>95.0</v>
      </c>
      <c r="T96" s="163"/>
      <c r="U96" s="338"/>
      <c r="V96" s="163"/>
      <c r="W96" s="176"/>
      <c r="X96" s="180">
        <v>4.0</v>
      </c>
      <c r="Y96" s="360"/>
      <c r="Z96" s="360"/>
      <c r="AA96" s="360"/>
      <c r="AB96" s="176"/>
      <c r="AC96" s="176"/>
      <c r="AD96" s="176"/>
      <c r="AE96" s="176"/>
      <c r="AF96" s="176"/>
      <c r="AG96" s="331"/>
      <c r="AH96" s="176"/>
      <c r="AI96" s="180">
        <v>3.0</v>
      </c>
      <c r="AJ96" s="176"/>
      <c r="AK96" s="360"/>
      <c r="AL96" s="180">
        <v>3.0</v>
      </c>
      <c r="AM96" s="360"/>
      <c r="AN96" s="360"/>
      <c r="AO96" s="176"/>
      <c r="AP96" s="176"/>
      <c r="AQ96" s="176"/>
      <c r="AR96" s="331"/>
      <c r="AS96" s="176"/>
      <c r="AT96" s="360"/>
      <c r="AU96" s="176"/>
      <c r="AV96" s="360"/>
      <c r="AW96" s="176"/>
      <c r="AX96" s="176"/>
      <c r="AY96" s="176"/>
      <c r="AZ96" s="176"/>
      <c r="BA96" s="176"/>
      <c r="BB96" s="176"/>
      <c r="BC96" s="331"/>
      <c r="BD96" s="176"/>
      <c r="BE96" s="360"/>
      <c r="BF96" s="360"/>
      <c r="BG96" s="360"/>
      <c r="BH96" s="360"/>
      <c r="BI96" s="360"/>
      <c r="BJ96" s="360"/>
      <c r="BK96" s="360"/>
      <c r="BL96" s="360"/>
      <c r="BM96" s="176"/>
    </row>
    <row r="97">
      <c r="A97" s="165"/>
      <c r="B97" s="166"/>
      <c r="C97" s="165"/>
      <c r="E97" s="166"/>
      <c r="F97" s="340" t="s">
        <v>88</v>
      </c>
      <c r="G97" s="62"/>
      <c r="H97" s="62"/>
      <c r="I97" s="62"/>
      <c r="J97" s="62"/>
      <c r="K97" s="62"/>
      <c r="L97" s="62"/>
      <c r="M97" s="62"/>
      <c r="N97" s="63"/>
      <c r="O97" s="335">
        <v>120.0</v>
      </c>
      <c r="P97" s="163"/>
      <c r="Q97" s="336">
        <v>107.5</v>
      </c>
      <c r="R97" s="163"/>
      <c r="S97" s="337">
        <v>107.5</v>
      </c>
      <c r="T97" s="163"/>
      <c r="U97" s="338"/>
      <c r="V97" s="163"/>
      <c r="W97" s="176"/>
      <c r="X97" s="176"/>
      <c r="Y97" s="180">
        <v>3.0</v>
      </c>
      <c r="Z97" s="176"/>
      <c r="AA97" s="360"/>
      <c r="AB97" s="176"/>
      <c r="AC97" s="176"/>
      <c r="AD97" s="176"/>
      <c r="AE97" s="176"/>
      <c r="AF97" s="176"/>
      <c r="AG97" s="331"/>
      <c r="AH97" s="176"/>
      <c r="AI97" s="176"/>
      <c r="AJ97" s="180">
        <v>2.0</v>
      </c>
      <c r="AK97" s="360"/>
      <c r="AL97" s="360"/>
      <c r="AM97" s="180">
        <v>3.0</v>
      </c>
      <c r="AN97" s="176"/>
      <c r="AO97" s="176"/>
      <c r="AP97" s="176"/>
      <c r="AQ97" s="176"/>
      <c r="AR97" s="331"/>
      <c r="AS97" s="176"/>
      <c r="AT97" s="176"/>
      <c r="AU97" s="360"/>
      <c r="AV97" s="360"/>
      <c r="AW97" s="360"/>
      <c r="AX97" s="360"/>
      <c r="AY97" s="176"/>
      <c r="AZ97" s="176"/>
      <c r="BA97" s="176"/>
      <c r="BB97" s="176"/>
      <c r="BC97" s="331"/>
      <c r="BD97" s="176"/>
      <c r="BE97" s="176"/>
      <c r="BF97" s="360"/>
      <c r="BG97" s="360"/>
      <c r="BH97" s="360"/>
      <c r="BI97" s="360"/>
      <c r="BJ97" s="176"/>
      <c r="BK97" s="176"/>
      <c r="BL97" s="176"/>
      <c r="BM97" s="176"/>
    </row>
    <row r="98">
      <c r="A98" s="165"/>
      <c r="B98" s="166"/>
      <c r="C98" s="165"/>
      <c r="E98" s="166"/>
      <c r="F98" s="341"/>
      <c r="G98" s="342"/>
      <c r="H98" s="342"/>
      <c r="I98" s="342"/>
      <c r="J98" s="342"/>
      <c r="K98" s="342"/>
      <c r="L98" s="342"/>
      <c r="M98" s="342"/>
      <c r="N98" s="343"/>
      <c r="O98" s="335">
        <v>130.0</v>
      </c>
      <c r="P98" s="163"/>
      <c r="Q98" s="344"/>
      <c r="R98" s="163"/>
      <c r="S98" s="273"/>
      <c r="T98" s="163"/>
      <c r="U98" s="338"/>
      <c r="V98" s="163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331"/>
      <c r="AH98" s="176"/>
      <c r="AI98" s="176"/>
      <c r="AJ98" s="176"/>
      <c r="AK98" s="180">
        <v>1.0</v>
      </c>
      <c r="AL98" s="176"/>
      <c r="AM98" s="176"/>
      <c r="AN98" s="176"/>
      <c r="AO98" s="176"/>
      <c r="AP98" s="176"/>
      <c r="AQ98" s="176"/>
      <c r="AR98" s="331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331"/>
      <c r="BD98" s="176"/>
      <c r="BE98" s="176"/>
      <c r="BF98" s="176"/>
      <c r="BG98" s="360"/>
      <c r="BH98" s="176"/>
      <c r="BI98" s="176"/>
      <c r="BJ98" s="176"/>
      <c r="BK98" s="176"/>
      <c r="BL98" s="176"/>
      <c r="BM98" s="176"/>
    </row>
    <row r="99">
      <c r="A99" s="165"/>
      <c r="B99" s="166"/>
      <c r="C99" s="165"/>
      <c r="E99" s="166"/>
      <c r="F99" s="345"/>
      <c r="G99" s="346"/>
      <c r="H99" s="346"/>
      <c r="I99" s="346"/>
      <c r="J99" s="346"/>
      <c r="K99" s="346"/>
      <c r="L99" s="346"/>
      <c r="M99" s="346"/>
      <c r="N99" s="347"/>
      <c r="O99" s="335">
        <v>135.0</v>
      </c>
      <c r="P99" s="163"/>
      <c r="Q99" s="344"/>
      <c r="R99" s="163"/>
      <c r="S99" s="273"/>
      <c r="T99" s="163"/>
      <c r="U99" s="338"/>
      <c r="V99" s="163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331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331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331"/>
      <c r="BD99" s="215"/>
      <c r="BE99" s="215"/>
      <c r="BF99" s="215"/>
      <c r="BG99" s="215"/>
      <c r="BH99" s="215"/>
      <c r="BI99" s="215"/>
      <c r="BJ99" s="215"/>
      <c r="BK99" s="215"/>
      <c r="BL99" s="215"/>
      <c r="BM99" s="215"/>
    </row>
    <row r="100">
      <c r="A100" s="165"/>
      <c r="B100" s="166"/>
      <c r="C100" s="171"/>
      <c r="D100" s="137"/>
      <c r="E100" s="138"/>
      <c r="F100" s="348"/>
      <c r="G100" s="348"/>
      <c r="H100" s="348"/>
      <c r="I100" s="348"/>
      <c r="J100" s="348"/>
      <c r="K100" s="348"/>
      <c r="L100" s="348"/>
      <c r="M100" s="348"/>
      <c r="N100" s="348"/>
      <c r="O100" s="349" t="s">
        <v>110</v>
      </c>
      <c r="P100" s="62"/>
      <c r="Q100" s="62"/>
      <c r="R100" s="62"/>
      <c r="S100" s="62"/>
      <c r="T100" s="62"/>
      <c r="U100" s="62"/>
      <c r="V100" s="63"/>
      <c r="W100" s="349"/>
      <c r="X100" s="350"/>
      <c r="Y100" s="350"/>
      <c r="Z100" s="351"/>
      <c r="AA100" s="351"/>
      <c r="AB100" s="351"/>
      <c r="AC100" s="351"/>
      <c r="AD100" s="351"/>
      <c r="AE100" s="351"/>
      <c r="AF100" s="229"/>
      <c r="AG100" s="331"/>
      <c r="AH100" s="379"/>
      <c r="AI100" s="176"/>
      <c r="AJ100" s="176"/>
      <c r="AK100" s="176"/>
      <c r="AL100" s="176"/>
      <c r="AM100" s="176"/>
      <c r="AN100" s="176"/>
      <c r="AO100" s="176"/>
      <c r="AP100" s="176"/>
      <c r="AQ100" s="244"/>
      <c r="AR100" s="331"/>
      <c r="AS100" s="379"/>
      <c r="AT100" s="176"/>
      <c r="AU100" s="176"/>
      <c r="AV100" s="176"/>
      <c r="AW100" s="176"/>
      <c r="AX100" s="176"/>
      <c r="AY100" s="176"/>
      <c r="AZ100" s="176"/>
      <c r="BA100" s="176"/>
      <c r="BB100" s="244"/>
      <c r="BC100" s="331"/>
      <c r="BD100" s="379"/>
      <c r="BE100" s="176"/>
      <c r="BF100" s="176"/>
      <c r="BG100" s="176"/>
      <c r="BH100" s="176"/>
      <c r="BI100" s="176"/>
      <c r="BJ100" s="176"/>
      <c r="BK100" s="176"/>
      <c r="BL100" s="176"/>
      <c r="BM100" s="244"/>
    </row>
    <row r="101">
      <c r="A101" s="165"/>
      <c r="B101" s="166"/>
      <c r="C101" s="333" t="s">
        <v>125</v>
      </c>
      <c r="D101" s="162"/>
      <c r="E101" s="163"/>
      <c r="F101" s="334" t="s">
        <v>86</v>
      </c>
      <c r="G101" s="62"/>
      <c r="H101" s="62"/>
      <c r="I101" s="62"/>
      <c r="J101" s="62"/>
      <c r="K101" s="62"/>
      <c r="L101" s="62"/>
      <c r="M101" s="62"/>
      <c r="N101" s="63"/>
      <c r="O101" s="255">
        <v>50.0</v>
      </c>
      <c r="P101" s="163"/>
      <c r="Q101" s="336">
        <v>47.5</v>
      </c>
      <c r="R101" s="163"/>
      <c r="S101" s="337">
        <v>42.5</v>
      </c>
      <c r="T101" s="163"/>
      <c r="U101" s="378">
        <v>55.0</v>
      </c>
      <c r="V101" s="163"/>
      <c r="W101" s="260">
        <v>6.0</v>
      </c>
      <c r="X101" s="176"/>
      <c r="Y101" s="261">
        <v>6.0</v>
      </c>
      <c r="Z101" s="176"/>
      <c r="AA101" s="176"/>
      <c r="AB101" s="176"/>
      <c r="AC101" s="176"/>
      <c r="AD101" s="176"/>
      <c r="AE101" s="176"/>
      <c r="AF101" s="244"/>
      <c r="AG101" s="331"/>
      <c r="AH101" s="273">
        <v>6.0</v>
      </c>
      <c r="AI101" s="221"/>
      <c r="AJ101" s="221"/>
      <c r="AK101" s="221"/>
      <c r="AL101" s="274"/>
      <c r="AM101" s="275">
        <v>5.0</v>
      </c>
      <c r="AN101" s="274"/>
      <c r="AO101" s="221"/>
      <c r="AP101" s="221"/>
      <c r="AQ101" s="222"/>
      <c r="AR101" s="331"/>
      <c r="AS101" s="338"/>
      <c r="AT101" s="221"/>
      <c r="AU101" s="221"/>
      <c r="AV101" s="221"/>
      <c r="AW101" s="221"/>
      <c r="AX101" s="221"/>
      <c r="AY101" s="221"/>
      <c r="AZ101" s="221"/>
      <c r="BA101" s="221"/>
      <c r="BB101" s="222"/>
      <c r="BC101" s="331"/>
      <c r="BD101" s="338"/>
      <c r="BE101" s="221"/>
      <c r="BF101" s="221"/>
      <c r="BG101" s="274"/>
      <c r="BH101" s="221"/>
      <c r="BI101" s="274"/>
      <c r="BJ101" s="274"/>
      <c r="BK101" s="221"/>
      <c r="BL101" s="221"/>
      <c r="BM101" s="222"/>
    </row>
    <row r="102">
      <c r="A102" s="165"/>
      <c r="B102" s="166"/>
      <c r="C102" s="165"/>
      <c r="E102" s="166"/>
      <c r="F102" s="339" t="s">
        <v>111</v>
      </c>
      <c r="G102" s="162"/>
      <c r="H102" s="162"/>
      <c r="I102" s="162"/>
      <c r="J102" s="162"/>
      <c r="K102" s="162"/>
      <c r="L102" s="162"/>
      <c r="M102" s="162"/>
      <c r="N102" s="163"/>
      <c r="O102" s="262">
        <v>60.0</v>
      </c>
      <c r="P102" s="166"/>
      <c r="Q102" s="336">
        <v>57.5</v>
      </c>
      <c r="R102" s="163"/>
      <c r="S102" s="337">
        <v>50.0</v>
      </c>
      <c r="T102" s="163"/>
      <c r="U102" s="378">
        <v>65.0</v>
      </c>
      <c r="V102" s="163"/>
      <c r="W102" s="209"/>
      <c r="X102" s="261">
        <v>6.0</v>
      </c>
      <c r="Y102" s="180"/>
      <c r="Z102" s="180"/>
      <c r="AA102" s="180"/>
      <c r="AB102" s="176"/>
      <c r="AC102" s="176"/>
      <c r="AD102" s="176"/>
      <c r="AE102" s="176"/>
      <c r="AF102" s="244"/>
      <c r="AG102" s="331"/>
      <c r="AH102" s="209"/>
      <c r="AI102" s="261">
        <v>5.0</v>
      </c>
      <c r="AJ102" s="261">
        <v>5.0</v>
      </c>
      <c r="AK102" s="180"/>
      <c r="AL102" s="176"/>
      <c r="AM102" s="180"/>
      <c r="AN102" s="261">
        <v>5.0</v>
      </c>
      <c r="AO102" s="176"/>
      <c r="AP102" s="176"/>
      <c r="AQ102" s="244"/>
      <c r="AR102" s="331"/>
      <c r="AS102" s="209"/>
      <c r="AT102" s="180"/>
      <c r="AU102" s="176"/>
      <c r="AV102" s="180"/>
      <c r="AW102" s="176"/>
      <c r="AX102" s="176"/>
      <c r="AY102" s="176"/>
      <c r="AZ102" s="176"/>
      <c r="BA102" s="176"/>
      <c r="BB102" s="244"/>
      <c r="BC102" s="331"/>
      <c r="BD102" s="209"/>
      <c r="BE102" s="180"/>
      <c r="BF102" s="180"/>
      <c r="BG102" s="180"/>
      <c r="BH102" s="180"/>
      <c r="BI102" s="180"/>
      <c r="BJ102" s="180"/>
      <c r="BK102" s="180"/>
      <c r="BL102" s="180"/>
      <c r="BM102" s="244"/>
    </row>
    <row r="103">
      <c r="A103" s="165"/>
      <c r="B103" s="166"/>
      <c r="C103" s="165"/>
      <c r="E103" s="166"/>
      <c r="F103" s="340" t="s">
        <v>112</v>
      </c>
      <c r="G103" s="62"/>
      <c r="H103" s="62"/>
      <c r="I103" s="62"/>
      <c r="J103" s="62"/>
      <c r="K103" s="62"/>
      <c r="L103" s="62"/>
      <c r="M103" s="62"/>
      <c r="N103" s="63"/>
      <c r="O103" s="262">
        <v>67.5</v>
      </c>
      <c r="P103" s="166"/>
      <c r="Q103" s="336">
        <v>65.0</v>
      </c>
      <c r="R103" s="163"/>
      <c r="S103" s="337">
        <v>57.5</v>
      </c>
      <c r="T103" s="163"/>
      <c r="U103" s="378">
        <v>75.0</v>
      </c>
      <c r="V103" s="163"/>
      <c r="W103" s="209"/>
      <c r="X103" s="176"/>
      <c r="Y103" s="180"/>
      <c r="Z103" s="176"/>
      <c r="AA103" s="180"/>
      <c r="AB103" s="176"/>
      <c r="AC103" s="176"/>
      <c r="AD103" s="176"/>
      <c r="AE103" s="176"/>
      <c r="AF103" s="244"/>
      <c r="AG103" s="331"/>
      <c r="AH103" s="209"/>
      <c r="AI103" s="176"/>
      <c r="AJ103" s="180"/>
      <c r="AK103" s="261">
        <v>4.0</v>
      </c>
      <c r="AL103" s="261">
        <v>4.0</v>
      </c>
      <c r="AM103" s="176"/>
      <c r="AN103" s="176"/>
      <c r="AO103" s="176"/>
      <c r="AP103" s="176"/>
      <c r="AQ103" s="244"/>
      <c r="AR103" s="331"/>
      <c r="AS103" s="209"/>
      <c r="AT103" s="176"/>
      <c r="AU103" s="180"/>
      <c r="AV103" s="180"/>
      <c r="AW103" s="180"/>
      <c r="AX103" s="180"/>
      <c r="AY103" s="176"/>
      <c r="AZ103" s="176"/>
      <c r="BA103" s="176"/>
      <c r="BB103" s="244"/>
      <c r="BC103" s="331"/>
      <c r="BD103" s="209"/>
      <c r="BE103" s="176"/>
      <c r="BF103" s="243"/>
      <c r="BG103" s="180"/>
      <c r="BH103" s="180"/>
      <c r="BI103" s="180"/>
      <c r="BJ103" s="176"/>
      <c r="BK103" s="176"/>
      <c r="BL103" s="176"/>
      <c r="BM103" s="244"/>
    </row>
    <row r="104">
      <c r="A104" s="165"/>
      <c r="B104" s="166"/>
      <c r="C104" s="165"/>
      <c r="E104" s="166"/>
      <c r="F104" s="354" t="s">
        <v>113</v>
      </c>
      <c r="G104" s="137"/>
      <c r="H104" s="137"/>
      <c r="I104" s="137"/>
      <c r="J104" s="137"/>
      <c r="K104" s="137"/>
      <c r="L104" s="137"/>
      <c r="M104" s="137"/>
      <c r="N104" s="138"/>
      <c r="O104" s="262">
        <v>72.5</v>
      </c>
      <c r="P104" s="166"/>
      <c r="Q104" s="336">
        <v>70.0</v>
      </c>
      <c r="R104" s="163"/>
      <c r="S104" s="337">
        <v>62.5</v>
      </c>
      <c r="T104" s="163"/>
      <c r="U104" s="378">
        <v>80.0</v>
      </c>
      <c r="V104" s="163"/>
      <c r="W104" s="209"/>
      <c r="X104" s="176"/>
      <c r="Y104" s="176"/>
      <c r="Z104" s="176"/>
      <c r="AA104" s="176"/>
      <c r="AB104" s="176"/>
      <c r="AC104" s="176"/>
      <c r="AD104" s="176"/>
      <c r="AE104" s="176"/>
      <c r="AF104" s="244"/>
      <c r="AG104" s="331"/>
      <c r="AH104" s="209"/>
      <c r="AI104" s="176"/>
      <c r="AJ104" s="176"/>
      <c r="AK104" s="180"/>
      <c r="AL104" s="176"/>
      <c r="AM104" s="176"/>
      <c r="AN104" s="176"/>
      <c r="AO104" s="176"/>
      <c r="AP104" s="176"/>
      <c r="AQ104" s="244"/>
      <c r="AR104" s="331"/>
      <c r="AS104" s="209"/>
      <c r="AT104" s="176"/>
      <c r="AU104" s="176"/>
      <c r="AV104" s="176"/>
      <c r="AW104" s="176"/>
      <c r="AX104" s="176"/>
      <c r="AY104" s="176"/>
      <c r="AZ104" s="176"/>
      <c r="BA104" s="176"/>
      <c r="BB104" s="244"/>
      <c r="BC104" s="331"/>
      <c r="BD104" s="209"/>
      <c r="BE104" s="176"/>
      <c r="BF104" s="176"/>
      <c r="BG104" s="180"/>
      <c r="BH104" s="176"/>
      <c r="BI104" s="176"/>
      <c r="BJ104" s="176"/>
      <c r="BK104" s="176"/>
      <c r="BL104" s="176"/>
      <c r="BM104" s="244"/>
    </row>
    <row r="105">
      <c r="A105" s="165"/>
      <c r="B105" s="166"/>
      <c r="C105" s="165"/>
      <c r="E105" s="166"/>
      <c r="F105" s="348"/>
      <c r="G105" s="348"/>
      <c r="H105" s="348"/>
      <c r="I105" s="348"/>
      <c r="J105" s="348"/>
      <c r="K105" s="348"/>
      <c r="L105" s="348"/>
      <c r="M105" s="348"/>
      <c r="N105" s="355"/>
      <c r="O105" s="267">
        <v>75.0</v>
      </c>
      <c r="P105" s="138"/>
      <c r="Q105" s="344"/>
      <c r="R105" s="163"/>
      <c r="S105" s="273"/>
      <c r="T105" s="163"/>
      <c r="U105" s="378">
        <v>82.5</v>
      </c>
      <c r="V105" s="163"/>
      <c r="W105" s="216"/>
      <c r="X105" s="215"/>
      <c r="Y105" s="215"/>
      <c r="Z105" s="215"/>
      <c r="AA105" s="215"/>
      <c r="AB105" s="215"/>
      <c r="AC105" s="215"/>
      <c r="AD105" s="215"/>
      <c r="AE105" s="215"/>
      <c r="AF105" s="217"/>
      <c r="AG105" s="331"/>
      <c r="AH105" s="216"/>
      <c r="AI105" s="215"/>
      <c r="AJ105" s="215"/>
      <c r="AK105" s="215"/>
      <c r="AL105" s="215"/>
      <c r="AM105" s="215"/>
      <c r="AN105" s="215"/>
      <c r="AO105" s="215"/>
      <c r="AP105" s="215"/>
      <c r="AQ105" s="217"/>
      <c r="AR105" s="331"/>
      <c r="AS105" s="216"/>
      <c r="AT105" s="215"/>
      <c r="AU105" s="215"/>
      <c r="AV105" s="215"/>
      <c r="AW105" s="215"/>
      <c r="AX105" s="215"/>
      <c r="AY105" s="215"/>
      <c r="AZ105" s="215"/>
      <c r="BA105" s="215"/>
      <c r="BB105" s="217"/>
      <c r="BC105" s="331"/>
      <c r="BD105" s="216"/>
      <c r="BE105" s="215"/>
      <c r="BF105" s="215"/>
      <c r="BG105" s="215"/>
      <c r="BH105" s="215"/>
      <c r="BI105" s="215"/>
      <c r="BJ105" s="215"/>
      <c r="BK105" s="215"/>
      <c r="BL105" s="215"/>
      <c r="BM105" s="217"/>
    </row>
    <row r="106">
      <c r="A106" s="165"/>
      <c r="B106" s="166"/>
      <c r="C106" s="171"/>
      <c r="D106" s="137"/>
      <c r="E106" s="138"/>
      <c r="F106" s="356"/>
      <c r="G106" s="137"/>
      <c r="H106" s="137"/>
      <c r="I106" s="137"/>
      <c r="J106" s="137"/>
      <c r="K106" s="137"/>
      <c r="L106" s="137"/>
      <c r="M106" s="137"/>
      <c r="N106" s="137"/>
      <c r="O106" s="349" t="s">
        <v>110</v>
      </c>
      <c r="P106" s="62"/>
      <c r="Q106" s="62"/>
      <c r="R106" s="62"/>
      <c r="S106" s="62"/>
      <c r="T106" s="62"/>
      <c r="U106" s="62"/>
      <c r="V106" s="63"/>
      <c r="W106" s="357"/>
      <c r="X106" s="358"/>
      <c r="Y106" s="358"/>
      <c r="Z106" s="358"/>
      <c r="AA106" s="358"/>
      <c r="AB106" s="358"/>
      <c r="AC106" s="358"/>
      <c r="AD106" s="358"/>
      <c r="AE106" s="358"/>
      <c r="AF106" s="359"/>
      <c r="AG106" s="394"/>
      <c r="AH106" s="357"/>
      <c r="AI106" s="358"/>
      <c r="AJ106" s="358"/>
      <c r="AK106" s="358"/>
      <c r="AL106" s="358"/>
      <c r="AM106" s="358"/>
      <c r="AN106" s="358"/>
      <c r="AO106" s="358"/>
      <c r="AP106" s="358"/>
      <c r="AQ106" s="359"/>
      <c r="AR106" s="394"/>
      <c r="AS106" s="357"/>
      <c r="AT106" s="358"/>
      <c r="AU106" s="358"/>
      <c r="AV106" s="358"/>
      <c r="AW106" s="358"/>
      <c r="AX106" s="358"/>
      <c r="AY106" s="358"/>
      <c r="AZ106" s="358"/>
      <c r="BA106" s="358"/>
      <c r="BB106" s="359"/>
      <c r="BC106" s="394"/>
      <c r="BD106" s="357"/>
      <c r="BE106" s="358"/>
      <c r="BF106" s="358"/>
      <c r="BG106" s="358"/>
      <c r="BH106" s="358"/>
      <c r="BI106" s="358"/>
      <c r="BJ106" s="358"/>
      <c r="BK106" s="358"/>
      <c r="BL106" s="358"/>
      <c r="BM106" s="359"/>
    </row>
    <row r="107">
      <c r="A107" s="165"/>
      <c r="B107" s="166"/>
      <c r="C107" s="333" t="s">
        <v>58</v>
      </c>
      <c r="D107" s="162"/>
      <c r="E107" s="163"/>
      <c r="F107" s="334" t="s">
        <v>114</v>
      </c>
      <c r="G107" s="62"/>
      <c r="H107" s="62"/>
      <c r="I107" s="62"/>
      <c r="J107" s="62"/>
      <c r="K107" s="62"/>
      <c r="L107" s="62"/>
      <c r="M107" s="62"/>
      <c r="N107" s="63"/>
      <c r="O107" s="255">
        <v>110.0</v>
      </c>
      <c r="P107" s="163"/>
      <c r="Q107" s="336">
        <v>105.0</v>
      </c>
      <c r="R107" s="163"/>
      <c r="S107" s="337">
        <v>115.0</v>
      </c>
      <c r="T107" s="163"/>
      <c r="U107" s="353">
        <v>120.0</v>
      </c>
      <c r="V107" s="163"/>
      <c r="W107" s="238">
        <v>8.0</v>
      </c>
      <c r="X107" s="176"/>
      <c r="Y107" s="180"/>
      <c r="Z107" s="176"/>
      <c r="AA107" s="176"/>
      <c r="AB107" s="176"/>
      <c r="AC107" s="176"/>
      <c r="AD107" s="176"/>
      <c r="AE107" s="176"/>
      <c r="AF107" s="176"/>
      <c r="AG107" s="331"/>
      <c r="AH107" s="180">
        <v>4.0</v>
      </c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331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331"/>
      <c r="BD107" s="220"/>
      <c r="BE107" s="221"/>
      <c r="BF107" s="221"/>
      <c r="BG107" s="221"/>
      <c r="BH107" s="221"/>
      <c r="BI107" s="221"/>
      <c r="BJ107" s="221"/>
      <c r="BK107" s="221"/>
      <c r="BL107" s="221"/>
      <c r="BM107" s="222"/>
    </row>
    <row r="108">
      <c r="A108" s="165"/>
      <c r="B108" s="166"/>
      <c r="C108" s="165"/>
      <c r="E108" s="166"/>
      <c r="F108" s="339" t="s">
        <v>115</v>
      </c>
      <c r="G108" s="162"/>
      <c r="H108" s="162"/>
      <c r="I108" s="162"/>
      <c r="J108" s="162"/>
      <c r="K108" s="162"/>
      <c r="L108" s="162"/>
      <c r="M108" s="162"/>
      <c r="N108" s="163"/>
      <c r="O108" s="255">
        <v>125.0</v>
      </c>
      <c r="P108" s="163"/>
      <c r="Q108" s="336">
        <v>120.0</v>
      </c>
      <c r="R108" s="163"/>
      <c r="S108" s="337">
        <v>132.5</v>
      </c>
      <c r="T108" s="163"/>
      <c r="U108" s="353">
        <v>137.5</v>
      </c>
      <c r="V108" s="163"/>
      <c r="W108" s="176"/>
      <c r="X108" s="238">
        <v>4.0</v>
      </c>
      <c r="Y108" s="176"/>
      <c r="Z108" s="176"/>
      <c r="AA108" s="176"/>
      <c r="AB108" s="176"/>
      <c r="AC108" s="176"/>
      <c r="AD108" s="176"/>
      <c r="AE108" s="176"/>
      <c r="AF108" s="176"/>
      <c r="AG108" s="331"/>
      <c r="AH108" s="176"/>
      <c r="AI108" s="180">
        <v>3.0</v>
      </c>
      <c r="AJ108" s="176"/>
      <c r="AK108" s="176"/>
      <c r="AL108" s="180">
        <v>4.0</v>
      </c>
      <c r="AM108" s="176"/>
      <c r="AN108" s="176"/>
      <c r="AO108" s="176"/>
      <c r="AP108" s="176"/>
      <c r="AQ108" s="176"/>
      <c r="AR108" s="331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331"/>
      <c r="BD108" s="209"/>
      <c r="BE108" s="176"/>
      <c r="BF108" s="176"/>
      <c r="BG108" s="176"/>
      <c r="BH108" s="176"/>
      <c r="BI108" s="176"/>
      <c r="BJ108" s="176"/>
      <c r="BK108" s="176"/>
      <c r="BL108" s="176"/>
      <c r="BM108" s="244"/>
    </row>
    <row r="109">
      <c r="A109" s="165"/>
      <c r="B109" s="166"/>
      <c r="C109" s="165"/>
      <c r="E109" s="166"/>
      <c r="F109" s="340" t="s">
        <v>116</v>
      </c>
      <c r="G109" s="62"/>
      <c r="H109" s="62"/>
      <c r="I109" s="62"/>
      <c r="J109" s="62"/>
      <c r="K109" s="62"/>
      <c r="L109" s="62"/>
      <c r="M109" s="62"/>
      <c r="N109" s="63"/>
      <c r="O109" s="255">
        <v>140.0</v>
      </c>
      <c r="P109" s="163"/>
      <c r="Q109" s="336">
        <v>132.5</v>
      </c>
      <c r="R109" s="163"/>
      <c r="S109" s="337">
        <v>147.5</v>
      </c>
      <c r="T109" s="163"/>
      <c r="U109" s="353">
        <v>155.0</v>
      </c>
      <c r="V109" s="163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331"/>
      <c r="AH109" s="176"/>
      <c r="AI109" s="176"/>
      <c r="AJ109" s="180">
        <v>2.0</v>
      </c>
      <c r="AK109" s="360"/>
      <c r="AL109" s="176"/>
      <c r="AM109" s="180">
        <v>3.0</v>
      </c>
      <c r="AN109" s="176"/>
      <c r="AO109" s="176"/>
      <c r="AP109" s="176"/>
      <c r="AQ109" s="176"/>
      <c r="AR109" s="331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C109" s="331"/>
      <c r="BD109" s="209"/>
      <c r="BE109" s="176"/>
      <c r="BF109" s="176"/>
      <c r="BG109" s="176"/>
      <c r="BH109" s="176"/>
      <c r="BI109" s="176"/>
      <c r="BJ109" s="176"/>
      <c r="BK109" s="176"/>
      <c r="BL109" s="176"/>
      <c r="BM109" s="244"/>
    </row>
    <row r="110">
      <c r="A110" s="165"/>
      <c r="B110" s="166"/>
      <c r="C110" s="165"/>
      <c r="E110" s="166"/>
      <c r="F110" s="361"/>
      <c r="G110" s="361"/>
      <c r="H110" s="361"/>
      <c r="I110" s="361"/>
      <c r="J110" s="361"/>
      <c r="K110" s="361"/>
      <c r="L110" s="361"/>
      <c r="M110" s="361"/>
      <c r="N110" s="362"/>
      <c r="O110" s="255">
        <v>152.5</v>
      </c>
      <c r="P110" s="163"/>
      <c r="Q110" s="336">
        <v>145.0</v>
      </c>
      <c r="R110" s="163"/>
      <c r="S110" s="337">
        <v>160.0</v>
      </c>
      <c r="T110" s="163"/>
      <c r="U110" s="353">
        <v>167.5</v>
      </c>
      <c r="V110" s="163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331"/>
      <c r="AH110" s="176"/>
      <c r="AI110" s="176"/>
      <c r="AJ110" s="176"/>
      <c r="AK110" s="180">
        <v>1.0</v>
      </c>
      <c r="AL110" s="176"/>
      <c r="AM110" s="176"/>
      <c r="AN110" s="176"/>
      <c r="AO110" s="176"/>
      <c r="AP110" s="176"/>
      <c r="AQ110" s="176"/>
      <c r="AR110" s="331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331"/>
      <c r="BD110" s="209"/>
      <c r="BE110" s="176"/>
      <c r="BF110" s="176"/>
      <c r="BG110" s="176"/>
      <c r="BH110" s="176"/>
      <c r="BI110" s="176"/>
      <c r="BJ110" s="176"/>
      <c r="BK110" s="176"/>
      <c r="BL110" s="176"/>
      <c r="BM110" s="244"/>
    </row>
    <row r="111">
      <c r="A111" s="165"/>
      <c r="B111" s="166"/>
      <c r="C111" s="165"/>
      <c r="E111" s="166"/>
      <c r="F111" s="348"/>
      <c r="G111" s="348"/>
      <c r="H111" s="348"/>
      <c r="I111" s="348"/>
      <c r="J111" s="348"/>
      <c r="K111" s="348"/>
      <c r="L111" s="348"/>
      <c r="M111" s="348"/>
      <c r="N111" s="355"/>
      <c r="O111" s="255">
        <v>157.5</v>
      </c>
      <c r="P111" s="163"/>
      <c r="Q111" s="344"/>
      <c r="R111" s="163"/>
      <c r="S111" s="273"/>
      <c r="T111" s="163"/>
      <c r="U111" s="353">
        <v>172.5</v>
      </c>
      <c r="V111" s="163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331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331"/>
      <c r="AS111" s="215"/>
      <c r="AT111" s="215"/>
      <c r="AU111" s="215"/>
      <c r="AV111" s="215"/>
      <c r="AW111" s="215"/>
      <c r="AX111" s="215"/>
      <c r="AY111" s="215"/>
      <c r="AZ111" s="215"/>
      <c r="BA111" s="215"/>
      <c r="BB111" s="215"/>
      <c r="BC111" s="331"/>
      <c r="BD111" s="216"/>
      <c r="BE111" s="215"/>
      <c r="BF111" s="215"/>
      <c r="BG111" s="215"/>
      <c r="BH111" s="215"/>
      <c r="BI111" s="215"/>
      <c r="BJ111" s="215"/>
      <c r="BK111" s="215"/>
      <c r="BL111" s="215"/>
      <c r="BM111" s="217"/>
    </row>
    <row r="112">
      <c r="A112" s="165"/>
      <c r="B112" s="166"/>
      <c r="C112" s="171"/>
      <c r="D112" s="137"/>
      <c r="E112" s="138"/>
      <c r="F112" s="363"/>
      <c r="G112" s="62"/>
      <c r="H112" s="62"/>
      <c r="I112" s="62"/>
      <c r="J112" s="62"/>
      <c r="K112" s="62"/>
      <c r="L112" s="62"/>
      <c r="M112" s="62"/>
      <c r="N112" s="63"/>
      <c r="O112" s="349" t="s">
        <v>110</v>
      </c>
      <c r="P112" s="62"/>
      <c r="Q112" s="62"/>
      <c r="R112" s="62"/>
      <c r="S112" s="62"/>
      <c r="T112" s="62"/>
      <c r="U112" s="62"/>
      <c r="V112" s="63"/>
      <c r="W112" s="364"/>
      <c r="X112" s="365"/>
      <c r="Y112" s="365"/>
      <c r="Z112" s="365"/>
      <c r="AA112" s="365"/>
      <c r="AB112" s="365"/>
      <c r="AC112" s="365"/>
      <c r="AD112" s="365"/>
      <c r="AE112" s="365"/>
      <c r="AF112" s="366"/>
      <c r="AG112" s="331"/>
      <c r="AH112" s="364"/>
      <c r="AI112" s="365"/>
      <c r="AJ112" s="365"/>
      <c r="AK112" s="365"/>
      <c r="AL112" s="365"/>
      <c r="AM112" s="365"/>
      <c r="AN112" s="365"/>
      <c r="AO112" s="365"/>
      <c r="AP112" s="365"/>
      <c r="AQ112" s="366"/>
      <c r="AR112" s="331"/>
      <c r="AS112" s="364"/>
      <c r="AT112" s="365"/>
      <c r="AU112" s="365"/>
      <c r="AV112" s="365"/>
      <c r="AW112" s="365"/>
      <c r="AX112" s="365"/>
      <c r="AY112" s="365"/>
      <c r="AZ112" s="365"/>
      <c r="BA112" s="365"/>
      <c r="BB112" s="366"/>
      <c r="BC112" s="331"/>
      <c r="BD112" s="364"/>
      <c r="BE112" s="365"/>
      <c r="BF112" s="365"/>
      <c r="BG112" s="365"/>
      <c r="BH112" s="365"/>
      <c r="BI112" s="365"/>
      <c r="BJ112" s="365"/>
      <c r="BK112" s="365"/>
      <c r="BL112" s="365"/>
      <c r="BM112" s="366"/>
    </row>
    <row r="113">
      <c r="A113" s="165"/>
      <c r="B113" s="166"/>
      <c r="C113" s="318" t="s">
        <v>126</v>
      </c>
      <c r="D113" s="367"/>
      <c r="E113" s="367"/>
      <c r="F113" s="367"/>
      <c r="G113" s="367"/>
      <c r="H113" s="367"/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8"/>
      <c r="AG113" s="331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31"/>
      <c r="AS113" s="372"/>
      <c r="AT113" s="372"/>
      <c r="AU113" s="372"/>
      <c r="AV113" s="372"/>
      <c r="AW113" s="372"/>
      <c r="AX113" s="372"/>
      <c r="AY113" s="372"/>
      <c r="AZ113" s="372"/>
      <c r="BA113" s="372"/>
      <c r="BB113" s="372"/>
      <c r="BC113" s="331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3"/>
    </row>
    <row r="114">
      <c r="A114" s="165"/>
      <c r="B114" s="166"/>
      <c r="C114" s="370" t="s">
        <v>142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3"/>
      <c r="O114" s="371" t="s">
        <v>143</v>
      </c>
      <c r="P114" s="62"/>
      <c r="Q114" s="62"/>
      <c r="R114" s="62"/>
      <c r="S114" s="62"/>
      <c r="T114" s="62"/>
      <c r="U114" s="62"/>
      <c r="V114" s="63"/>
      <c r="W114" s="371"/>
      <c r="X114" s="374"/>
      <c r="Y114" s="374"/>
      <c r="Z114" s="393"/>
      <c r="AA114" s="393"/>
      <c r="AB114" s="372"/>
      <c r="AC114" s="372"/>
      <c r="AD114" s="372"/>
      <c r="AE114" s="372"/>
      <c r="AF114" s="373"/>
      <c r="AG114" s="331"/>
      <c r="AH114" s="374"/>
      <c r="AI114" s="374"/>
      <c r="AJ114" s="374"/>
      <c r="AK114" s="372"/>
      <c r="AL114" s="372"/>
      <c r="AM114" s="372"/>
      <c r="AN114" s="372"/>
      <c r="AO114" s="372"/>
      <c r="AP114" s="372"/>
      <c r="AQ114" s="372"/>
      <c r="AR114" s="331"/>
      <c r="AS114" s="374"/>
      <c r="AT114" s="374"/>
      <c r="AU114" s="374"/>
      <c r="AV114" s="372"/>
      <c r="AW114" s="372"/>
      <c r="AX114" s="372"/>
      <c r="AY114" s="372"/>
      <c r="AZ114" s="372"/>
      <c r="BA114" s="372"/>
      <c r="BB114" s="372"/>
      <c r="BC114" s="331"/>
      <c r="BD114" s="374"/>
      <c r="BE114" s="374"/>
      <c r="BF114" s="374"/>
      <c r="BG114" s="372"/>
      <c r="BH114" s="372"/>
      <c r="BI114" s="372"/>
      <c r="BJ114" s="372"/>
      <c r="BK114" s="372"/>
      <c r="BL114" s="372"/>
      <c r="BM114" s="373"/>
    </row>
    <row r="115">
      <c r="A115" s="165"/>
      <c r="B115" s="166"/>
      <c r="C115" s="370" t="s">
        <v>144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3"/>
      <c r="O115" s="375" t="s">
        <v>145</v>
      </c>
      <c r="P115" s="62"/>
      <c r="Q115" s="62"/>
      <c r="R115" s="62"/>
      <c r="S115" s="62"/>
      <c r="T115" s="62"/>
      <c r="U115" s="62"/>
      <c r="V115" s="63"/>
      <c r="W115" s="371"/>
      <c r="X115" s="374"/>
      <c r="Y115" s="374"/>
      <c r="Z115" s="374"/>
      <c r="AA115" s="374"/>
      <c r="AB115" s="374"/>
      <c r="AC115" s="374"/>
      <c r="AD115" s="374"/>
      <c r="AE115" s="374"/>
      <c r="AF115" s="376"/>
      <c r="AG115" s="377"/>
      <c r="AH115" s="371"/>
      <c r="AI115" s="374"/>
      <c r="AJ115" s="374"/>
      <c r="AK115" s="374"/>
      <c r="AL115" s="374"/>
      <c r="AM115" s="374"/>
      <c r="AN115" s="374"/>
      <c r="AO115" s="374"/>
      <c r="AP115" s="374"/>
      <c r="AQ115" s="376"/>
      <c r="AR115" s="377"/>
      <c r="AS115" s="371"/>
      <c r="AT115" s="374"/>
      <c r="AU115" s="374"/>
      <c r="AV115" s="374"/>
      <c r="AW115" s="374"/>
      <c r="AX115" s="374"/>
      <c r="AY115" s="374"/>
      <c r="AZ115" s="374"/>
      <c r="BA115" s="374"/>
      <c r="BB115" s="376"/>
      <c r="BC115" s="377"/>
      <c r="BD115" s="371"/>
      <c r="BE115" s="374"/>
      <c r="BF115" s="374"/>
      <c r="BG115" s="374"/>
      <c r="BH115" s="374"/>
      <c r="BI115" s="374"/>
      <c r="BJ115" s="374"/>
      <c r="BK115" s="374"/>
      <c r="BL115" s="374"/>
      <c r="BM115" s="376"/>
    </row>
    <row r="116">
      <c r="A116" s="165"/>
      <c r="B116" s="166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2"/>
      <c r="AS116" s="272"/>
      <c r="AT116" s="272"/>
      <c r="AU116" s="272"/>
      <c r="AV116" s="272"/>
      <c r="AW116" s="272"/>
      <c r="AX116" s="272"/>
      <c r="AY116" s="272"/>
      <c r="AZ116" s="272"/>
      <c r="BA116" s="272"/>
      <c r="BB116" s="272"/>
      <c r="BC116" s="272"/>
      <c r="BD116" s="272"/>
      <c r="BE116" s="272"/>
      <c r="BF116" s="272"/>
      <c r="BG116" s="272"/>
      <c r="BH116" s="272"/>
      <c r="BI116" s="272"/>
      <c r="BJ116" s="272"/>
      <c r="BK116" s="272"/>
      <c r="BL116" s="272"/>
      <c r="BM116" s="272"/>
    </row>
    <row r="117">
      <c r="A117" s="165"/>
      <c r="B117" s="166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  <c r="AM117" s="272"/>
      <c r="AN117" s="272"/>
      <c r="AO117" s="272"/>
      <c r="AP117" s="272"/>
      <c r="AQ117" s="272"/>
      <c r="AR117" s="272"/>
      <c r="AS117" s="272"/>
      <c r="AT117" s="272"/>
      <c r="AU117" s="272"/>
      <c r="AV117" s="272"/>
      <c r="AW117" s="272"/>
      <c r="AX117" s="272"/>
      <c r="AY117" s="272"/>
      <c r="AZ117" s="272"/>
      <c r="BA117" s="272"/>
      <c r="BB117" s="272"/>
      <c r="BC117" s="272"/>
      <c r="BD117" s="272"/>
      <c r="BE117" s="272"/>
      <c r="BF117" s="272"/>
      <c r="BG117" s="272"/>
      <c r="BH117" s="272"/>
      <c r="BI117" s="272"/>
      <c r="BJ117" s="272"/>
      <c r="BK117" s="272"/>
      <c r="BL117" s="272"/>
      <c r="BM117" s="272"/>
    </row>
    <row r="118">
      <c r="A118" s="165"/>
      <c r="B118" s="166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  <c r="AB118" s="272"/>
      <c r="AC118" s="272"/>
      <c r="AD118" s="272"/>
      <c r="AE118" s="272"/>
      <c r="AF118" s="272"/>
      <c r="AG118" s="272"/>
      <c r="AH118" s="272"/>
      <c r="AI118" s="272"/>
      <c r="AJ118" s="272"/>
      <c r="AK118" s="272"/>
      <c r="AL118" s="272"/>
      <c r="AM118" s="272"/>
      <c r="AN118" s="272"/>
      <c r="AO118" s="272"/>
      <c r="AP118" s="272"/>
      <c r="AQ118" s="272"/>
      <c r="AR118" s="272"/>
      <c r="AS118" s="272"/>
      <c r="AT118" s="272"/>
      <c r="AU118" s="272"/>
      <c r="AV118" s="272"/>
      <c r="AW118" s="272"/>
      <c r="AX118" s="272"/>
      <c r="AY118" s="272"/>
      <c r="AZ118" s="272"/>
      <c r="BA118" s="272"/>
      <c r="BB118" s="272"/>
      <c r="BC118" s="272"/>
      <c r="BD118" s="272"/>
      <c r="BE118" s="272"/>
      <c r="BF118" s="272"/>
      <c r="BG118" s="272"/>
      <c r="BH118" s="272"/>
      <c r="BI118" s="272"/>
      <c r="BJ118" s="272"/>
      <c r="BK118" s="272"/>
      <c r="BL118" s="272"/>
      <c r="BM118" s="272"/>
    </row>
    <row r="119">
      <c r="A119" s="171"/>
      <c r="B119" s="138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2"/>
      <c r="AY119" s="272"/>
      <c r="AZ119" s="272"/>
      <c r="BA119" s="272"/>
      <c r="BB119" s="272"/>
      <c r="BC119" s="272"/>
      <c r="BD119" s="272"/>
      <c r="BE119" s="272"/>
      <c r="BF119" s="272"/>
      <c r="BG119" s="272"/>
      <c r="BH119" s="272"/>
      <c r="BI119" s="272"/>
      <c r="BJ119" s="272"/>
      <c r="BK119" s="272"/>
      <c r="BL119" s="272"/>
      <c r="BM119" s="272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395"/>
      <c r="AT120" s="395"/>
      <c r="AU120" s="395"/>
      <c r="AV120" s="395"/>
      <c r="AW120" s="395"/>
      <c r="AX120" s="395"/>
      <c r="AY120" s="395"/>
      <c r="AZ120" s="395"/>
      <c r="BA120" s="395"/>
      <c r="BB120" s="395"/>
      <c r="BC120" s="395"/>
      <c r="BD120" s="395"/>
      <c r="BE120" s="395"/>
      <c r="BF120" s="395"/>
      <c r="BG120" s="395"/>
      <c r="BH120" s="395"/>
      <c r="BI120" s="395"/>
      <c r="BJ120" s="395"/>
      <c r="BK120" s="395"/>
      <c r="BL120" s="395"/>
      <c r="BM120" s="395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395"/>
      <c r="AT121" s="395"/>
      <c r="AU121" s="395"/>
      <c r="AV121" s="395"/>
      <c r="AW121" s="395"/>
      <c r="AX121" s="395"/>
      <c r="AY121" s="395"/>
      <c r="AZ121" s="395"/>
      <c r="BA121" s="395"/>
      <c r="BB121" s="395"/>
      <c r="BC121" s="395"/>
      <c r="BD121" s="395"/>
      <c r="BE121" s="395"/>
      <c r="BF121" s="395"/>
      <c r="BG121" s="395"/>
      <c r="BH121" s="395"/>
      <c r="BI121" s="395"/>
      <c r="BJ121" s="395"/>
      <c r="BK121" s="395"/>
      <c r="BL121" s="395"/>
      <c r="BM121" s="395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395"/>
      <c r="AT122" s="395"/>
      <c r="AU122" s="395"/>
      <c r="AV122" s="395"/>
      <c r="AW122" s="395"/>
      <c r="AX122" s="395"/>
      <c r="AY122" s="395"/>
      <c r="AZ122" s="395"/>
      <c r="BA122" s="395"/>
      <c r="BB122" s="395"/>
      <c r="BC122" s="395"/>
      <c r="BD122" s="395"/>
      <c r="BE122" s="395"/>
      <c r="BF122" s="395"/>
      <c r="BG122" s="395"/>
      <c r="BH122" s="395"/>
      <c r="BI122" s="395"/>
      <c r="BJ122" s="395"/>
      <c r="BK122" s="395"/>
      <c r="BL122" s="395"/>
      <c r="BM122" s="395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76"/>
      <c r="AT126" s="176"/>
      <c r="AU126" s="176"/>
      <c r="AV126" s="176"/>
      <c r="AW126" s="176"/>
      <c r="AX126" s="176"/>
      <c r="AY126" s="176"/>
      <c r="AZ126" s="176"/>
      <c r="BA126" s="176"/>
      <c r="BB126" s="176"/>
      <c r="BC126" s="176"/>
      <c r="BD126" s="176"/>
      <c r="BE126" s="176"/>
      <c r="BF126" s="176"/>
      <c r="BG126" s="176"/>
      <c r="BH126" s="176"/>
      <c r="BI126" s="176"/>
      <c r="BJ126" s="176"/>
      <c r="BK126" s="176"/>
      <c r="BL126" s="176"/>
      <c r="BM126" s="176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76"/>
      <c r="AT127" s="176"/>
      <c r="AU127" s="176"/>
      <c r="AV127" s="17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76"/>
      <c r="AT128" s="176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6"/>
      <c r="BF128" s="176"/>
      <c r="BG128" s="176"/>
      <c r="BH128" s="176"/>
      <c r="BI128" s="176"/>
      <c r="BJ128" s="176"/>
      <c r="BK128" s="176"/>
      <c r="BL128" s="176"/>
      <c r="BM128" s="176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76"/>
      <c r="AT129" s="176"/>
      <c r="AU129" s="176"/>
      <c r="AV129" s="176"/>
      <c r="AW129" s="176"/>
      <c r="AX129" s="176"/>
      <c r="AY129" s="176"/>
      <c r="AZ129" s="176"/>
      <c r="BA129" s="176"/>
      <c r="BB129" s="176"/>
      <c r="BC129" s="176"/>
      <c r="BD129" s="176"/>
      <c r="BE129" s="176"/>
      <c r="BF129" s="176"/>
      <c r="BG129" s="176"/>
      <c r="BH129" s="176"/>
      <c r="BI129" s="176"/>
      <c r="BJ129" s="176"/>
      <c r="BK129" s="176"/>
      <c r="BL129" s="176"/>
      <c r="BM129" s="176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76"/>
      <c r="AT130" s="176"/>
      <c r="AU130" s="176"/>
      <c r="AV130" s="176"/>
      <c r="AW130" s="176"/>
      <c r="AX130" s="176"/>
      <c r="AY130" s="176"/>
      <c r="AZ130" s="176"/>
      <c r="BA130" s="176"/>
      <c r="BB130" s="176"/>
      <c r="BC130" s="176"/>
      <c r="BD130" s="176"/>
      <c r="BE130" s="176"/>
      <c r="BF130" s="176"/>
      <c r="BG130" s="176"/>
      <c r="BH130" s="176"/>
      <c r="BI130" s="176"/>
      <c r="BJ130" s="176"/>
      <c r="BK130" s="176"/>
      <c r="BL130" s="176"/>
      <c r="BM130" s="176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76"/>
      <c r="AT131" s="176"/>
      <c r="AU131" s="176"/>
      <c r="AV131" s="176"/>
      <c r="AW131" s="176"/>
      <c r="AX131" s="176"/>
      <c r="AY131" s="176"/>
      <c r="AZ131" s="176"/>
      <c r="BA131" s="176"/>
      <c r="BB131" s="176"/>
      <c r="BC131" s="176"/>
      <c r="BD131" s="176"/>
      <c r="BE131" s="176"/>
      <c r="BF131" s="176"/>
      <c r="BG131" s="176"/>
      <c r="BH131" s="176"/>
      <c r="BI131" s="176"/>
      <c r="BJ131" s="176"/>
      <c r="BK131" s="176"/>
      <c r="BL131" s="176"/>
      <c r="BM131" s="176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6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76"/>
      <c r="AT133" s="176"/>
      <c r="AU133" s="176"/>
      <c r="AV133" s="176"/>
      <c r="AW133" s="176"/>
      <c r="AX133" s="176"/>
      <c r="AY133" s="176"/>
      <c r="AZ133" s="176"/>
      <c r="BA133" s="176"/>
      <c r="BB133" s="176"/>
      <c r="BC133" s="176"/>
      <c r="BD133" s="176"/>
      <c r="BE133" s="176"/>
      <c r="BF133" s="176"/>
      <c r="BG133" s="176"/>
      <c r="BH133" s="176"/>
      <c r="BI133" s="176"/>
      <c r="BJ133" s="176"/>
      <c r="BK133" s="176"/>
      <c r="BL133" s="176"/>
      <c r="BM133" s="176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76"/>
      <c r="AT134" s="176"/>
      <c r="AU134" s="176"/>
      <c r="AV134" s="176"/>
      <c r="AW134" s="176"/>
      <c r="AX134" s="176"/>
      <c r="AY134" s="176"/>
      <c r="AZ134" s="176"/>
      <c r="BA134" s="176"/>
      <c r="BB134" s="176"/>
      <c r="BC134" s="176"/>
      <c r="BD134" s="176"/>
      <c r="BE134" s="176"/>
      <c r="BF134" s="176"/>
      <c r="BG134" s="176"/>
      <c r="BH134" s="176"/>
      <c r="BI134" s="176"/>
      <c r="BJ134" s="176"/>
      <c r="BK134" s="176"/>
      <c r="BL134" s="176"/>
      <c r="BM134" s="176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76"/>
      <c r="AT136" s="176"/>
      <c r="AU136" s="176"/>
      <c r="AV136" s="176"/>
      <c r="AW136" s="176"/>
      <c r="AX136" s="176"/>
      <c r="AY136" s="176"/>
      <c r="AZ136" s="176"/>
      <c r="BA136" s="176"/>
      <c r="BB136" s="176"/>
      <c r="BC136" s="176"/>
      <c r="BD136" s="176"/>
      <c r="BE136" s="176"/>
      <c r="BF136" s="176"/>
      <c r="BG136" s="176"/>
      <c r="BH136" s="176"/>
      <c r="BI136" s="176"/>
      <c r="BJ136" s="176"/>
      <c r="BK136" s="176"/>
      <c r="BL136" s="176"/>
      <c r="BM136" s="176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76"/>
      <c r="AT137" s="176"/>
      <c r="AU137" s="176"/>
      <c r="AV137" s="176"/>
      <c r="AW137" s="176"/>
      <c r="AX137" s="176"/>
      <c r="AY137" s="176"/>
      <c r="AZ137" s="176"/>
      <c r="BA137" s="176"/>
      <c r="BB137" s="176"/>
      <c r="BC137" s="176"/>
      <c r="BD137" s="176"/>
      <c r="BE137" s="176"/>
      <c r="BF137" s="176"/>
      <c r="BG137" s="176"/>
      <c r="BH137" s="176"/>
      <c r="BI137" s="176"/>
      <c r="BJ137" s="176"/>
      <c r="BK137" s="176"/>
      <c r="BL137" s="176"/>
      <c r="BM137" s="176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76"/>
      <c r="AT138" s="176"/>
      <c r="AU138" s="176"/>
      <c r="AV138" s="176"/>
      <c r="AW138" s="176"/>
      <c r="AX138" s="176"/>
      <c r="AY138" s="176"/>
      <c r="AZ138" s="176"/>
      <c r="BA138" s="176"/>
      <c r="BB138" s="176"/>
      <c r="BC138" s="176"/>
      <c r="BD138" s="176"/>
      <c r="BE138" s="176"/>
      <c r="BF138" s="176"/>
      <c r="BG138" s="176"/>
      <c r="BH138" s="176"/>
      <c r="BI138" s="176"/>
      <c r="BJ138" s="176"/>
      <c r="BK138" s="176"/>
      <c r="BL138" s="176"/>
      <c r="BM138" s="176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76"/>
      <c r="AT139" s="176"/>
      <c r="AU139" s="176"/>
      <c r="AV139" s="176"/>
      <c r="AW139" s="176"/>
      <c r="AX139" s="176"/>
      <c r="AY139" s="176"/>
      <c r="AZ139" s="176"/>
      <c r="BA139" s="176"/>
      <c r="BB139" s="176"/>
      <c r="BC139" s="176"/>
      <c r="BD139" s="176"/>
      <c r="BE139" s="176"/>
      <c r="BF139" s="176"/>
      <c r="BG139" s="176"/>
      <c r="BH139" s="176"/>
      <c r="BI139" s="176"/>
      <c r="BJ139" s="176"/>
      <c r="BK139" s="176"/>
      <c r="BL139" s="176"/>
      <c r="BM139" s="176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76"/>
      <c r="AT143" s="176"/>
      <c r="AU143" s="176"/>
      <c r="AV143" s="176"/>
      <c r="AW143" s="176"/>
      <c r="AX143" s="176"/>
      <c r="AY143" s="176"/>
      <c r="AZ143" s="176"/>
      <c r="BA143" s="176"/>
      <c r="BB143" s="176"/>
      <c r="BC143" s="176"/>
      <c r="BD143" s="176"/>
      <c r="BE143" s="176"/>
      <c r="BF143" s="176"/>
      <c r="BG143" s="176"/>
      <c r="BH143" s="176"/>
      <c r="BI143" s="176"/>
      <c r="BJ143" s="176"/>
      <c r="BK143" s="176"/>
      <c r="BL143" s="176"/>
      <c r="BM143" s="176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76"/>
      <c r="AT144" s="176"/>
      <c r="AU144" s="176"/>
      <c r="AV144" s="176"/>
      <c r="AW144" s="176"/>
      <c r="AX144" s="176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76"/>
      <c r="BL144" s="176"/>
      <c r="BM144" s="176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76"/>
      <c r="BD145" s="176"/>
      <c r="BE145" s="176"/>
      <c r="BF145" s="176"/>
      <c r="BG145" s="176"/>
      <c r="BH145" s="176"/>
      <c r="BI145" s="176"/>
      <c r="BJ145" s="176"/>
      <c r="BK145" s="176"/>
      <c r="BL145" s="176"/>
      <c r="BM145" s="176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76"/>
      <c r="AT146" s="176"/>
      <c r="AU146" s="176"/>
      <c r="AV146" s="176"/>
      <c r="AW146" s="176"/>
      <c r="AX146" s="176"/>
      <c r="AY146" s="176"/>
      <c r="AZ146" s="176"/>
      <c r="BA146" s="176"/>
      <c r="BB146" s="176"/>
      <c r="BC146" s="176"/>
      <c r="BD146" s="176"/>
      <c r="BE146" s="176"/>
      <c r="BF146" s="176"/>
      <c r="BG146" s="176"/>
      <c r="BH146" s="176"/>
      <c r="BI146" s="176"/>
      <c r="BJ146" s="176"/>
      <c r="BK146" s="176"/>
      <c r="BL146" s="176"/>
      <c r="BM146" s="176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76"/>
      <c r="AT147" s="176"/>
      <c r="AU147" s="176"/>
      <c r="AV147" s="176"/>
      <c r="AW147" s="176"/>
      <c r="AX147" s="176"/>
      <c r="AY147" s="176"/>
      <c r="AZ147" s="176"/>
      <c r="BA147" s="176"/>
      <c r="BB147" s="176"/>
      <c r="BC147" s="176"/>
      <c r="BD147" s="176"/>
      <c r="BE147" s="176"/>
      <c r="BF147" s="176"/>
      <c r="BG147" s="176"/>
      <c r="BH147" s="176"/>
      <c r="BI147" s="176"/>
      <c r="BJ147" s="176"/>
      <c r="BK147" s="176"/>
      <c r="BL147" s="176"/>
      <c r="BM147" s="176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76"/>
      <c r="AT148" s="176"/>
      <c r="AU148" s="176"/>
      <c r="AV148" s="176"/>
      <c r="AW148" s="176"/>
      <c r="AX148" s="176"/>
      <c r="AY148" s="176"/>
      <c r="AZ148" s="176"/>
      <c r="BA148" s="176"/>
      <c r="BB148" s="176"/>
      <c r="BC148" s="176"/>
      <c r="BD148" s="176"/>
      <c r="BE148" s="176"/>
      <c r="BF148" s="176"/>
      <c r="BG148" s="176"/>
      <c r="BH148" s="176"/>
      <c r="BI148" s="176"/>
      <c r="BJ148" s="176"/>
      <c r="BK148" s="176"/>
      <c r="BL148" s="176"/>
      <c r="BM148" s="176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76"/>
      <c r="AT149" s="176"/>
      <c r="AU149" s="176"/>
      <c r="AV149" s="176"/>
      <c r="AW149" s="176"/>
      <c r="AX149" s="176"/>
      <c r="AY149" s="176"/>
      <c r="AZ149" s="176"/>
      <c r="BA149" s="176"/>
      <c r="BB149" s="176"/>
      <c r="BC149" s="176"/>
      <c r="BD149" s="176"/>
      <c r="BE149" s="176"/>
      <c r="BF149" s="176"/>
      <c r="BG149" s="176"/>
      <c r="BH149" s="176"/>
      <c r="BI149" s="176"/>
      <c r="BJ149" s="176"/>
      <c r="BK149" s="176"/>
      <c r="BL149" s="176"/>
      <c r="BM149" s="176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76"/>
      <c r="AT150" s="176"/>
      <c r="AU150" s="176"/>
      <c r="AV150" s="176"/>
      <c r="AW150" s="176"/>
      <c r="AX150" s="176"/>
      <c r="AY150" s="176"/>
      <c r="AZ150" s="176"/>
      <c r="BA150" s="176"/>
      <c r="BB150" s="176"/>
      <c r="BC150" s="176"/>
      <c r="BD150" s="176"/>
      <c r="BE150" s="176"/>
      <c r="BF150" s="176"/>
      <c r="BG150" s="176"/>
      <c r="BH150" s="176"/>
      <c r="BI150" s="176"/>
      <c r="BJ150" s="176"/>
      <c r="BK150" s="176"/>
      <c r="BL150" s="176"/>
      <c r="BM150" s="176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396"/>
      <c r="AT158" s="396"/>
      <c r="AU158" s="396"/>
      <c r="AV158" s="396"/>
      <c r="AW158" s="396"/>
      <c r="AX158" s="396"/>
      <c r="AY158" s="396"/>
      <c r="AZ158" s="396"/>
      <c r="BA158" s="396"/>
      <c r="BB158" s="396"/>
      <c r="BC158" s="396"/>
      <c r="BD158" s="396"/>
      <c r="BE158" s="396"/>
      <c r="BF158" s="396"/>
      <c r="BG158" s="396"/>
      <c r="BH158" s="396"/>
      <c r="BI158" s="396"/>
      <c r="BJ158" s="396"/>
      <c r="BK158" s="396"/>
      <c r="BL158" s="396"/>
      <c r="BM158" s="396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396"/>
      <c r="AT159" s="396"/>
      <c r="AU159" s="396"/>
      <c r="AV159" s="396"/>
      <c r="AW159" s="396"/>
      <c r="AX159" s="396"/>
      <c r="AY159" s="396"/>
      <c r="AZ159" s="396"/>
      <c r="BA159" s="396"/>
      <c r="BB159" s="396"/>
      <c r="BC159" s="396"/>
      <c r="BD159" s="396"/>
      <c r="BE159" s="396"/>
      <c r="BF159" s="396"/>
      <c r="BG159" s="396"/>
      <c r="BH159" s="396"/>
      <c r="BI159" s="396"/>
      <c r="BJ159" s="396"/>
      <c r="BK159" s="396"/>
      <c r="BL159" s="396"/>
      <c r="BM159" s="396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</row>
    <row r="190">
      <c r="A190" s="154"/>
      <c r="B190" s="154"/>
      <c r="C190" s="305"/>
      <c r="D190" s="305"/>
      <c r="E190" s="305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</row>
    <row r="191">
      <c r="A191" s="154"/>
      <c r="B191" s="154"/>
      <c r="C191" s="305"/>
      <c r="D191" s="305"/>
      <c r="E191" s="305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</row>
    <row r="192">
      <c r="A192" s="154"/>
      <c r="B192" s="154"/>
      <c r="C192" s="305"/>
      <c r="D192" s="305"/>
      <c r="E192" s="305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</row>
    <row r="193">
      <c r="A193" s="154"/>
      <c r="B193" s="154"/>
      <c r="C193" s="305"/>
      <c r="D193" s="305"/>
      <c r="E193" s="305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</row>
    <row r="194">
      <c r="A194" s="154"/>
      <c r="B194" s="154"/>
      <c r="C194" s="305"/>
      <c r="D194" s="305"/>
      <c r="E194" s="305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</row>
    <row r="195">
      <c r="A195" s="154"/>
      <c r="B195" s="154"/>
      <c r="C195" s="305"/>
      <c r="D195" s="305"/>
      <c r="E195" s="305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</row>
    <row r="196">
      <c r="A196" s="154"/>
      <c r="B196" s="154"/>
      <c r="C196" s="305"/>
      <c r="D196" s="305"/>
      <c r="E196" s="305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</row>
    <row r="197">
      <c r="A197" s="154"/>
      <c r="B197" s="154"/>
      <c r="C197" s="305"/>
      <c r="D197" s="305"/>
      <c r="E197" s="305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</row>
    <row r="198">
      <c r="A198" s="154"/>
      <c r="B198" s="154"/>
      <c r="C198" s="305"/>
      <c r="D198" s="305"/>
      <c r="E198" s="305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</row>
    <row r="199">
      <c r="A199" s="154"/>
      <c r="B199" s="154"/>
      <c r="C199" s="305"/>
      <c r="D199" s="305"/>
      <c r="E199" s="305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</row>
    <row r="200">
      <c r="A200" s="154"/>
      <c r="B200" s="154"/>
      <c r="C200" s="305"/>
      <c r="D200" s="305"/>
      <c r="E200" s="305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</row>
    <row r="201">
      <c r="A201" s="154"/>
      <c r="B201" s="154"/>
      <c r="C201" s="305"/>
      <c r="D201" s="305"/>
      <c r="E201" s="305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</row>
    <row r="202">
      <c r="A202" s="154"/>
      <c r="B202" s="154"/>
      <c r="C202" s="305"/>
      <c r="D202" s="305"/>
      <c r="E202" s="305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</row>
    <row r="203">
      <c r="A203" s="154"/>
      <c r="B203" s="154"/>
      <c r="C203" s="305"/>
      <c r="D203" s="305"/>
      <c r="E203" s="305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</row>
    <row r="204">
      <c r="A204" s="154"/>
      <c r="B204" s="154"/>
      <c r="C204" s="305"/>
      <c r="D204" s="305"/>
      <c r="E204" s="305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</row>
    <row r="205">
      <c r="A205" s="154"/>
      <c r="B205" s="154"/>
      <c r="C205" s="305"/>
      <c r="D205" s="305"/>
      <c r="E205" s="305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</row>
    <row r="206">
      <c r="A206" s="154"/>
      <c r="B206" s="154"/>
      <c r="C206" s="305"/>
      <c r="D206" s="305"/>
      <c r="E206" s="305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</row>
    <row r="207">
      <c r="A207" s="154"/>
      <c r="B207" s="154"/>
      <c r="C207" s="305"/>
      <c r="D207" s="305"/>
      <c r="E207" s="305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</row>
    <row r="208">
      <c r="A208" s="154"/>
      <c r="B208" s="154"/>
      <c r="C208" s="305"/>
      <c r="D208" s="305"/>
      <c r="E208" s="305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</row>
    <row r="209">
      <c r="A209" s="154"/>
      <c r="B209" s="154"/>
      <c r="C209" s="305"/>
      <c r="D209" s="305"/>
      <c r="E209" s="305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</row>
    <row r="210">
      <c r="A210" s="154"/>
      <c r="B210" s="154"/>
      <c r="C210" s="305"/>
      <c r="D210" s="305"/>
      <c r="E210" s="305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</row>
    <row r="211">
      <c r="A211" s="154"/>
      <c r="B211" s="154"/>
      <c r="C211" s="305"/>
      <c r="D211" s="305"/>
      <c r="E211" s="305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</row>
    <row r="212">
      <c r="A212" s="154"/>
      <c r="B212" s="154"/>
      <c r="C212" s="305"/>
      <c r="D212" s="305"/>
      <c r="E212" s="305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</row>
    <row r="213">
      <c r="A213" s="154"/>
      <c r="B213" s="154"/>
      <c r="C213" s="305"/>
      <c r="D213" s="305"/>
      <c r="E213" s="305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</row>
    <row r="214">
      <c r="A214" s="154"/>
      <c r="B214" s="154"/>
      <c r="C214" s="305"/>
      <c r="D214" s="305"/>
      <c r="E214" s="305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</row>
    <row r="215">
      <c r="A215" s="154"/>
      <c r="B215" s="154"/>
      <c r="C215" s="305"/>
      <c r="D215" s="305"/>
      <c r="E215" s="305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</row>
    <row r="216">
      <c r="A216" s="154"/>
      <c r="B216" s="154"/>
      <c r="C216" s="305"/>
      <c r="D216" s="305"/>
      <c r="E216" s="305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</row>
    <row r="217">
      <c r="A217" s="154"/>
      <c r="B217" s="154"/>
      <c r="C217" s="305"/>
      <c r="D217" s="305"/>
      <c r="E217" s="305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</row>
    <row r="218">
      <c r="A218" s="154"/>
      <c r="B218" s="154"/>
      <c r="C218" s="305"/>
      <c r="D218" s="305"/>
      <c r="E218" s="305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</row>
    <row r="219">
      <c r="A219" s="154"/>
      <c r="B219" s="154"/>
      <c r="C219" s="305"/>
      <c r="D219" s="305"/>
      <c r="E219" s="305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</row>
    <row r="220">
      <c r="A220" s="154"/>
      <c r="B220" s="154"/>
      <c r="C220" s="305"/>
      <c r="D220" s="305"/>
      <c r="E220" s="305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</row>
    <row r="221">
      <c r="A221" s="154"/>
      <c r="B221" s="154"/>
      <c r="C221" s="305"/>
      <c r="D221" s="305"/>
      <c r="E221" s="305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</row>
    <row r="222">
      <c r="A222" s="154"/>
      <c r="B222" s="154"/>
      <c r="C222" s="305"/>
      <c r="D222" s="305"/>
      <c r="E222" s="305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</row>
    <row r="223">
      <c r="A223" s="154"/>
      <c r="B223" s="154"/>
      <c r="C223" s="305"/>
      <c r="D223" s="305"/>
      <c r="E223" s="305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</row>
    <row r="224">
      <c r="A224" s="154"/>
      <c r="B224" s="154"/>
      <c r="C224" s="305"/>
      <c r="D224" s="305"/>
      <c r="E224" s="305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</row>
    <row r="225">
      <c r="A225" s="154"/>
      <c r="B225" s="154"/>
      <c r="C225" s="305"/>
      <c r="D225" s="305"/>
      <c r="E225" s="305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</row>
    <row r="226">
      <c r="A226" s="154"/>
      <c r="B226" s="154"/>
      <c r="C226" s="305"/>
      <c r="D226" s="305"/>
      <c r="E226" s="305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</row>
    <row r="227">
      <c r="A227" s="154"/>
      <c r="B227" s="154"/>
      <c r="C227" s="305"/>
      <c r="D227" s="305"/>
      <c r="E227" s="305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</row>
    <row r="228">
      <c r="A228" s="154"/>
      <c r="B228" s="154"/>
      <c r="C228" s="305"/>
      <c r="D228" s="305"/>
      <c r="E228" s="305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</row>
    <row r="229">
      <c r="A229" s="154"/>
      <c r="B229" s="154"/>
      <c r="C229" s="305"/>
      <c r="D229" s="305"/>
      <c r="E229" s="305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</row>
    <row r="230">
      <c r="A230" s="154"/>
      <c r="B230" s="154"/>
      <c r="C230" s="305"/>
      <c r="D230" s="305"/>
      <c r="E230" s="305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</row>
    <row r="231">
      <c r="A231" s="154"/>
      <c r="B231" s="154"/>
      <c r="C231" s="305"/>
      <c r="D231" s="305"/>
      <c r="E231" s="305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</row>
    <row r="232">
      <c r="A232" s="154"/>
      <c r="B232" s="154"/>
      <c r="C232" s="305"/>
      <c r="D232" s="305"/>
      <c r="E232" s="305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</row>
    <row r="233">
      <c r="A233" s="154"/>
      <c r="B233" s="154"/>
      <c r="C233" s="305"/>
      <c r="D233" s="305"/>
      <c r="E233" s="305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</row>
    <row r="234">
      <c r="A234" s="154"/>
      <c r="B234" s="154"/>
      <c r="C234" s="305"/>
      <c r="D234" s="305"/>
      <c r="E234" s="305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</row>
    <row r="235">
      <c r="A235" s="154"/>
      <c r="B235" s="154"/>
      <c r="C235" s="305"/>
      <c r="D235" s="305"/>
      <c r="E235" s="305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</row>
    <row r="236">
      <c r="A236" s="154"/>
      <c r="B236" s="154"/>
      <c r="C236" s="305"/>
      <c r="D236" s="305"/>
      <c r="E236" s="305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</row>
    <row r="237">
      <c r="A237" s="154"/>
      <c r="B237" s="154"/>
      <c r="C237" s="305"/>
      <c r="D237" s="305"/>
      <c r="E237" s="305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</row>
    <row r="238">
      <c r="A238" s="154"/>
      <c r="B238" s="154"/>
      <c r="C238" s="305"/>
      <c r="D238" s="305"/>
      <c r="E238" s="305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</row>
    <row r="239">
      <c r="A239" s="154"/>
      <c r="B239" s="154"/>
      <c r="C239" s="305"/>
      <c r="D239" s="305"/>
      <c r="E239" s="305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</row>
    <row r="240">
      <c r="A240" s="154"/>
      <c r="B240" s="154"/>
      <c r="C240" s="305"/>
      <c r="D240" s="305"/>
      <c r="E240" s="305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</row>
    <row r="241">
      <c r="A241" s="154"/>
      <c r="B241" s="154"/>
      <c r="C241" s="305"/>
      <c r="D241" s="305"/>
      <c r="E241" s="305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</row>
    <row r="242">
      <c r="A242" s="154"/>
      <c r="B242" s="154"/>
      <c r="C242" s="305"/>
      <c r="D242" s="305"/>
      <c r="E242" s="305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</row>
    <row r="243">
      <c r="A243" s="154"/>
      <c r="B243" s="154"/>
      <c r="C243" s="305"/>
      <c r="D243" s="305"/>
      <c r="E243" s="305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</row>
    <row r="244">
      <c r="A244" s="154"/>
      <c r="B244" s="154"/>
      <c r="C244" s="305"/>
      <c r="D244" s="305"/>
      <c r="E244" s="305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</row>
    <row r="245">
      <c r="A245" s="154"/>
      <c r="B245" s="154"/>
      <c r="C245" s="305"/>
      <c r="D245" s="305"/>
      <c r="E245" s="305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</row>
    <row r="246">
      <c r="A246" s="154"/>
      <c r="B246" s="154"/>
      <c r="C246" s="305"/>
      <c r="D246" s="305"/>
      <c r="E246" s="305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</row>
    <row r="247">
      <c r="A247" s="154"/>
      <c r="B247" s="154"/>
      <c r="C247" s="305"/>
      <c r="D247" s="305"/>
      <c r="E247" s="305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</row>
    <row r="248">
      <c r="A248" s="154"/>
      <c r="B248" s="154"/>
      <c r="C248" s="305"/>
      <c r="D248" s="305"/>
      <c r="E248" s="305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</row>
    <row r="249">
      <c r="A249" s="154"/>
      <c r="B249" s="154"/>
      <c r="C249" s="305"/>
      <c r="D249" s="305"/>
      <c r="E249" s="305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</row>
    <row r="250">
      <c r="A250" s="154"/>
      <c r="B250" s="154"/>
      <c r="C250" s="305"/>
      <c r="D250" s="305"/>
      <c r="E250" s="305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</row>
    <row r="251">
      <c r="A251" s="154"/>
      <c r="B251" s="154"/>
      <c r="C251" s="305"/>
      <c r="D251" s="305"/>
      <c r="E251" s="305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</row>
    <row r="252">
      <c r="A252" s="154"/>
      <c r="B252" s="154"/>
      <c r="C252" s="305"/>
      <c r="D252" s="305"/>
      <c r="E252" s="305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</row>
    <row r="253">
      <c r="A253" s="154"/>
      <c r="B253" s="154"/>
      <c r="C253" s="305"/>
      <c r="D253" s="305"/>
      <c r="E253" s="305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</row>
    <row r="254">
      <c r="A254" s="154"/>
      <c r="B254" s="154"/>
      <c r="C254" s="305"/>
      <c r="D254" s="305"/>
      <c r="E254" s="305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</row>
    <row r="255">
      <c r="A255" s="154"/>
      <c r="B255" s="154"/>
      <c r="C255" s="305"/>
      <c r="D255" s="305"/>
      <c r="E255" s="305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</row>
    <row r="256">
      <c r="A256" s="154"/>
      <c r="B256" s="154"/>
      <c r="C256" s="305"/>
      <c r="D256" s="305"/>
      <c r="E256" s="305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</row>
    <row r="257">
      <c r="A257" s="154"/>
      <c r="B257" s="154"/>
      <c r="C257" s="305"/>
      <c r="D257" s="305"/>
      <c r="E257" s="305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</row>
    <row r="258">
      <c r="A258" s="154"/>
      <c r="B258" s="154"/>
      <c r="C258" s="305"/>
      <c r="D258" s="305"/>
      <c r="E258" s="305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</row>
    <row r="259">
      <c r="A259" s="154"/>
      <c r="B259" s="154"/>
      <c r="C259" s="305"/>
      <c r="D259" s="305"/>
      <c r="E259" s="305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</row>
    <row r="260">
      <c r="A260" s="154"/>
      <c r="B260" s="154"/>
      <c r="C260" s="305"/>
      <c r="D260" s="305"/>
      <c r="E260" s="305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</row>
    <row r="261">
      <c r="A261" s="154"/>
      <c r="B261" s="154"/>
      <c r="C261" s="305"/>
      <c r="D261" s="305"/>
      <c r="E261" s="305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</row>
    <row r="262">
      <c r="A262" s="154"/>
      <c r="B262" s="154"/>
      <c r="C262" s="305"/>
      <c r="D262" s="305"/>
      <c r="E262" s="305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</row>
    <row r="263">
      <c r="A263" s="154"/>
      <c r="B263" s="154"/>
      <c r="C263" s="305"/>
      <c r="D263" s="305"/>
      <c r="E263" s="305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</row>
    <row r="264">
      <c r="A264" s="154"/>
      <c r="B264" s="154"/>
      <c r="C264" s="305"/>
      <c r="D264" s="305"/>
      <c r="E264" s="305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</row>
    <row r="265">
      <c r="A265" s="154"/>
      <c r="B265" s="154"/>
      <c r="C265" s="305"/>
      <c r="D265" s="305"/>
      <c r="E265" s="305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</row>
    <row r="266">
      <c r="A266" s="154"/>
      <c r="B266" s="154"/>
      <c r="C266" s="305"/>
      <c r="D266" s="305"/>
      <c r="E266" s="305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</row>
    <row r="267">
      <c r="A267" s="154"/>
      <c r="B267" s="154"/>
      <c r="C267" s="305"/>
      <c r="D267" s="305"/>
      <c r="E267" s="305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</row>
    <row r="268">
      <c r="A268" s="154"/>
      <c r="B268" s="154"/>
      <c r="C268" s="305"/>
      <c r="D268" s="305"/>
      <c r="E268" s="305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</row>
    <row r="269">
      <c r="A269" s="154"/>
      <c r="B269" s="154"/>
      <c r="C269" s="305"/>
      <c r="D269" s="305"/>
      <c r="E269" s="305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</row>
    <row r="270">
      <c r="A270" s="154"/>
      <c r="B270" s="154"/>
      <c r="C270" s="305"/>
      <c r="D270" s="305"/>
      <c r="E270" s="305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</row>
    <row r="271">
      <c r="A271" s="154"/>
      <c r="B271" s="154"/>
      <c r="C271" s="305"/>
      <c r="D271" s="305"/>
      <c r="E271" s="305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</row>
    <row r="272">
      <c r="A272" s="154"/>
      <c r="B272" s="154"/>
      <c r="C272" s="305"/>
      <c r="D272" s="305"/>
      <c r="E272" s="305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</row>
    <row r="273">
      <c r="A273" s="154"/>
      <c r="B273" s="154"/>
      <c r="C273" s="305"/>
      <c r="D273" s="305"/>
      <c r="E273" s="305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</row>
    <row r="274">
      <c r="A274" s="154"/>
      <c r="B274" s="154"/>
      <c r="C274" s="305"/>
      <c r="D274" s="305"/>
      <c r="E274" s="305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</row>
    <row r="275">
      <c r="A275" s="154"/>
      <c r="B275" s="154"/>
      <c r="C275" s="305"/>
      <c r="D275" s="305"/>
      <c r="E275" s="305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</row>
    <row r="276">
      <c r="A276" s="154"/>
      <c r="B276" s="154"/>
      <c r="C276" s="305"/>
      <c r="D276" s="305"/>
      <c r="E276" s="305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</row>
    <row r="277">
      <c r="A277" s="154"/>
      <c r="B277" s="154"/>
      <c r="C277" s="305"/>
      <c r="D277" s="305"/>
      <c r="E277" s="305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</row>
    <row r="278">
      <c r="A278" s="154"/>
      <c r="B278" s="154"/>
      <c r="C278" s="305"/>
      <c r="D278" s="305"/>
      <c r="E278" s="305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</row>
    <row r="279">
      <c r="A279" s="154"/>
      <c r="B279" s="154"/>
      <c r="C279" s="305"/>
      <c r="D279" s="305"/>
      <c r="E279" s="305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</row>
    <row r="280">
      <c r="A280" s="154"/>
      <c r="B280" s="154"/>
      <c r="C280" s="305"/>
      <c r="D280" s="305"/>
      <c r="E280" s="305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</row>
    <row r="281">
      <c r="A281" s="154"/>
      <c r="B281" s="154"/>
      <c r="C281" s="305"/>
      <c r="D281" s="305"/>
      <c r="E281" s="305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</row>
    <row r="282">
      <c r="A282" s="154"/>
      <c r="B282" s="154"/>
      <c r="C282" s="305"/>
      <c r="D282" s="305"/>
      <c r="E282" s="305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</row>
    <row r="283">
      <c r="A283" s="154"/>
      <c r="B283" s="154"/>
      <c r="C283" s="305"/>
      <c r="D283" s="305"/>
      <c r="E283" s="305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</row>
    <row r="284">
      <c r="A284" s="154"/>
      <c r="B284" s="154"/>
      <c r="C284" s="305"/>
      <c r="D284" s="305"/>
      <c r="E284" s="305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</row>
    <row r="285">
      <c r="A285" s="154"/>
      <c r="B285" s="154"/>
      <c r="C285" s="305"/>
      <c r="D285" s="305"/>
      <c r="E285" s="305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</row>
    <row r="286">
      <c r="A286" s="154"/>
      <c r="B286" s="154"/>
      <c r="C286" s="305"/>
      <c r="D286" s="305"/>
      <c r="E286" s="305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</row>
    <row r="287">
      <c r="A287" s="154"/>
      <c r="B287" s="154"/>
      <c r="C287" s="305"/>
      <c r="D287" s="305"/>
      <c r="E287" s="305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</row>
    <row r="288">
      <c r="A288" s="154"/>
      <c r="B288" s="154"/>
      <c r="C288" s="305"/>
      <c r="D288" s="305"/>
      <c r="E288" s="305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</row>
    <row r="289">
      <c r="A289" s="154"/>
      <c r="B289" s="154"/>
      <c r="C289" s="305"/>
      <c r="D289" s="305"/>
      <c r="E289" s="305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</row>
    <row r="290">
      <c r="A290" s="154"/>
      <c r="B290" s="154"/>
      <c r="C290" s="305"/>
      <c r="D290" s="305"/>
      <c r="E290" s="305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</row>
    <row r="291">
      <c r="A291" s="154"/>
      <c r="B291" s="154"/>
      <c r="C291" s="305"/>
      <c r="D291" s="305"/>
      <c r="E291" s="305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</row>
    <row r="292">
      <c r="A292" s="154"/>
      <c r="B292" s="154"/>
      <c r="C292" s="305"/>
      <c r="D292" s="305"/>
      <c r="E292" s="305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</row>
    <row r="293">
      <c r="A293" s="154"/>
      <c r="B293" s="154"/>
      <c r="C293" s="305"/>
      <c r="D293" s="305"/>
      <c r="E293" s="305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</row>
    <row r="294">
      <c r="A294" s="154"/>
      <c r="B294" s="154"/>
      <c r="C294" s="305"/>
      <c r="D294" s="305"/>
      <c r="E294" s="305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</row>
    <row r="295">
      <c r="A295" s="154"/>
      <c r="B295" s="154"/>
      <c r="C295" s="305"/>
      <c r="D295" s="305"/>
      <c r="E295" s="305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</row>
    <row r="296">
      <c r="A296" s="154"/>
      <c r="B296" s="154"/>
      <c r="C296" s="305"/>
      <c r="D296" s="305"/>
      <c r="E296" s="305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</row>
    <row r="297">
      <c r="A297" s="154"/>
      <c r="B297" s="154"/>
      <c r="C297" s="305"/>
      <c r="D297" s="305"/>
      <c r="E297" s="305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</row>
    <row r="298">
      <c r="A298" s="154"/>
      <c r="B298" s="154"/>
      <c r="C298" s="305"/>
      <c r="D298" s="305"/>
      <c r="E298" s="305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</row>
    <row r="299">
      <c r="A299" s="154"/>
      <c r="B299" s="154"/>
      <c r="C299" s="305"/>
      <c r="D299" s="305"/>
      <c r="E299" s="305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</row>
    <row r="300">
      <c r="A300" s="154"/>
      <c r="B300" s="154"/>
      <c r="C300" s="305"/>
      <c r="D300" s="305"/>
      <c r="E300" s="305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</row>
    <row r="301">
      <c r="A301" s="154"/>
      <c r="B301" s="154"/>
      <c r="C301" s="305"/>
      <c r="D301" s="305"/>
      <c r="E301" s="305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</row>
    <row r="302">
      <c r="A302" s="154"/>
      <c r="B302" s="154"/>
      <c r="C302" s="305"/>
      <c r="D302" s="305"/>
      <c r="E302" s="305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</row>
    <row r="303">
      <c r="A303" s="154"/>
      <c r="B303" s="154"/>
      <c r="C303" s="305"/>
      <c r="D303" s="305"/>
      <c r="E303" s="305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</row>
    <row r="304">
      <c r="A304" s="154"/>
      <c r="B304" s="154"/>
      <c r="C304" s="305"/>
      <c r="D304" s="305"/>
      <c r="E304" s="305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</row>
    <row r="305">
      <c r="A305" s="154"/>
      <c r="B305" s="154"/>
      <c r="C305" s="305"/>
      <c r="D305" s="305"/>
      <c r="E305" s="305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</row>
    <row r="306">
      <c r="A306" s="154"/>
      <c r="B306" s="154"/>
      <c r="C306" s="305"/>
      <c r="D306" s="305"/>
      <c r="E306" s="305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</row>
    <row r="307">
      <c r="A307" s="154"/>
      <c r="B307" s="154"/>
      <c r="C307" s="305"/>
      <c r="D307" s="305"/>
      <c r="E307" s="305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</row>
    <row r="308">
      <c r="A308" s="154"/>
      <c r="B308" s="154"/>
      <c r="C308" s="305"/>
      <c r="D308" s="305"/>
      <c r="E308" s="305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</row>
    <row r="309">
      <c r="A309" s="154"/>
      <c r="B309" s="154"/>
      <c r="C309" s="305"/>
      <c r="D309" s="305"/>
      <c r="E309" s="305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</row>
    <row r="310">
      <c r="A310" s="154"/>
      <c r="B310" s="154"/>
      <c r="C310" s="305"/>
      <c r="D310" s="305"/>
      <c r="E310" s="305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</row>
    <row r="311">
      <c r="A311" s="154"/>
      <c r="B311" s="154"/>
      <c r="C311" s="305"/>
      <c r="D311" s="305"/>
      <c r="E311" s="305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  <c r="BI311" s="154"/>
      <c r="BJ311" s="154"/>
      <c r="BK311" s="154"/>
      <c r="BL311" s="154"/>
      <c r="BM311" s="154"/>
    </row>
    <row r="312">
      <c r="A312" s="154"/>
      <c r="B312" s="154"/>
      <c r="C312" s="305"/>
      <c r="D312" s="305"/>
      <c r="E312" s="305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  <c r="BI312" s="154"/>
      <c r="BJ312" s="154"/>
      <c r="BK312" s="154"/>
      <c r="BL312" s="154"/>
      <c r="BM312" s="154"/>
    </row>
    <row r="313">
      <c r="A313" s="154"/>
      <c r="B313" s="154"/>
      <c r="C313" s="305"/>
      <c r="D313" s="305"/>
      <c r="E313" s="305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  <c r="BI313" s="154"/>
      <c r="BJ313" s="154"/>
      <c r="BK313" s="154"/>
      <c r="BL313" s="154"/>
      <c r="BM313" s="154"/>
    </row>
    <row r="314">
      <c r="A314" s="154"/>
      <c r="B314" s="154"/>
      <c r="C314" s="305"/>
      <c r="D314" s="305"/>
      <c r="E314" s="305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  <c r="BI314" s="154"/>
      <c r="BJ314" s="154"/>
      <c r="BK314" s="154"/>
      <c r="BL314" s="154"/>
      <c r="BM314" s="154"/>
    </row>
    <row r="315">
      <c r="A315" s="154"/>
      <c r="B315" s="154"/>
      <c r="C315" s="305"/>
      <c r="D315" s="305"/>
      <c r="E315" s="305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  <c r="BI315" s="154"/>
      <c r="BJ315" s="154"/>
      <c r="BK315" s="154"/>
      <c r="BL315" s="154"/>
      <c r="BM315" s="154"/>
    </row>
    <row r="316">
      <c r="A316" s="154"/>
      <c r="B316" s="154"/>
      <c r="C316" s="305"/>
      <c r="D316" s="305"/>
      <c r="E316" s="305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  <c r="BI316" s="154"/>
      <c r="BJ316" s="154"/>
      <c r="BK316" s="154"/>
      <c r="BL316" s="154"/>
      <c r="BM316" s="154"/>
    </row>
    <row r="317">
      <c r="A317" s="154"/>
      <c r="B317" s="154"/>
      <c r="C317" s="305"/>
      <c r="D317" s="305"/>
      <c r="E317" s="305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  <c r="BI317" s="154"/>
      <c r="BJ317" s="154"/>
      <c r="BK317" s="154"/>
      <c r="BL317" s="154"/>
      <c r="BM317" s="154"/>
    </row>
    <row r="318">
      <c r="A318" s="154"/>
      <c r="B318" s="154"/>
      <c r="C318" s="305"/>
      <c r="D318" s="305"/>
      <c r="E318" s="305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  <c r="BI318" s="154"/>
      <c r="BJ318" s="154"/>
      <c r="BK318" s="154"/>
      <c r="BL318" s="154"/>
      <c r="BM318" s="154"/>
    </row>
    <row r="319">
      <c r="A319" s="154"/>
      <c r="B319" s="154"/>
      <c r="C319" s="305"/>
      <c r="D319" s="305"/>
      <c r="E319" s="305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  <c r="BI319" s="154"/>
      <c r="BJ319" s="154"/>
      <c r="BK319" s="154"/>
      <c r="BL319" s="154"/>
      <c r="BM319" s="154"/>
    </row>
    <row r="320">
      <c r="A320" s="154"/>
      <c r="B320" s="154"/>
      <c r="C320" s="305"/>
      <c r="D320" s="305"/>
      <c r="E320" s="305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  <c r="BI320" s="154"/>
      <c r="BJ320" s="154"/>
      <c r="BK320" s="154"/>
      <c r="BL320" s="154"/>
      <c r="BM320" s="154"/>
    </row>
    <row r="321">
      <c r="A321" s="154"/>
      <c r="B321" s="154"/>
      <c r="C321" s="305"/>
      <c r="D321" s="305"/>
      <c r="E321" s="305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  <c r="BI321" s="154"/>
      <c r="BJ321" s="154"/>
      <c r="BK321" s="154"/>
      <c r="BL321" s="154"/>
      <c r="BM321" s="154"/>
    </row>
    <row r="322">
      <c r="A322" s="154"/>
      <c r="B322" s="154"/>
      <c r="C322" s="305"/>
      <c r="D322" s="305"/>
      <c r="E322" s="305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  <c r="BI322" s="154"/>
      <c r="BJ322" s="154"/>
      <c r="BK322" s="154"/>
      <c r="BL322" s="154"/>
      <c r="BM322" s="154"/>
    </row>
    <row r="323">
      <c r="A323" s="154"/>
      <c r="B323" s="154"/>
      <c r="C323" s="305"/>
      <c r="D323" s="305"/>
      <c r="E323" s="305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  <c r="BI323" s="154"/>
      <c r="BJ323" s="154"/>
      <c r="BK323" s="154"/>
      <c r="BL323" s="154"/>
      <c r="BM323" s="154"/>
    </row>
    <row r="324">
      <c r="A324" s="154"/>
      <c r="B324" s="154"/>
      <c r="C324" s="305"/>
      <c r="D324" s="305"/>
      <c r="E324" s="305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  <c r="BI324" s="154"/>
      <c r="BJ324" s="154"/>
      <c r="BK324" s="154"/>
      <c r="BL324" s="154"/>
      <c r="BM324" s="154"/>
    </row>
    <row r="325">
      <c r="A325" s="154"/>
      <c r="B325" s="154"/>
      <c r="C325" s="305"/>
      <c r="D325" s="305"/>
      <c r="E325" s="305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  <c r="BI325" s="154"/>
      <c r="BJ325" s="154"/>
      <c r="BK325" s="154"/>
      <c r="BL325" s="154"/>
      <c r="BM325" s="154"/>
    </row>
    <row r="326">
      <c r="A326" s="154"/>
      <c r="B326" s="154"/>
      <c r="C326" s="305"/>
      <c r="D326" s="305"/>
      <c r="E326" s="305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  <c r="BI326" s="154"/>
      <c r="BJ326" s="154"/>
      <c r="BK326" s="154"/>
      <c r="BL326" s="154"/>
      <c r="BM326" s="154"/>
    </row>
    <row r="327">
      <c r="A327" s="154"/>
      <c r="B327" s="154"/>
      <c r="C327" s="305"/>
      <c r="D327" s="305"/>
      <c r="E327" s="305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  <c r="BI327" s="154"/>
      <c r="BJ327" s="154"/>
      <c r="BK327" s="154"/>
      <c r="BL327" s="154"/>
      <c r="BM327" s="154"/>
    </row>
    <row r="328">
      <c r="A328" s="154"/>
      <c r="B328" s="154"/>
      <c r="C328" s="305"/>
      <c r="D328" s="305"/>
      <c r="E328" s="305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  <c r="BI328" s="154"/>
      <c r="BJ328" s="154"/>
      <c r="BK328" s="154"/>
      <c r="BL328" s="154"/>
      <c r="BM328" s="154"/>
    </row>
    <row r="329">
      <c r="A329" s="154"/>
      <c r="B329" s="154"/>
      <c r="C329" s="305"/>
      <c r="D329" s="305"/>
      <c r="E329" s="305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  <c r="BI329" s="154"/>
      <c r="BJ329" s="154"/>
      <c r="BK329" s="154"/>
      <c r="BL329" s="154"/>
      <c r="BM329" s="154"/>
    </row>
    <row r="330">
      <c r="A330" s="154"/>
      <c r="B330" s="154"/>
      <c r="C330" s="305"/>
      <c r="D330" s="305"/>
      <c r="E330" s="305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  <c r="BI330" s="154"/>
      <c r="BJ330" s="154"/>
      <c r="BK330" s="154"/>
      <c r="BL330" s="154"/>
      <c r="BM330" s="154"/>
    </row>
    <row r="331">
      <c r="A331" s="154"/>
      <c r="B331" s="154"/>
      <c r="C331" s="305"/>
      <c r="D331" s="305"/>
      <c r="E331" s="305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  <c r="BI331" s="154"/>
      <c r="BJ331" s="154"/>
      <c r="BK331" s="154"/>
      <c r="BL331" s="154"/>
      <c r="BM331" s="154"/>
    </row>
    <row r="332">
      <c r="A332" s="154"/>
      <c r="B332" s="154"/>
      <c r="C332" s="305"/>
      <c r="D332" s="305"/>
      <c r="E332" s="305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  <c r="BI332" s="154"/>
      <c r="BJ332" s="154"/>
      <c r="BK332" s="154"/>
      <c r="BL332" s="154"/>
      <c r="BM332" s="154"/>
    </row>
    <row r="333">
      <c r="A333" s="154"/>
      <c r="B333" s="154"/>
      <c r="C333" s="305"/>
      <c r="D333" s="305"/>
      <c r="E333" s="305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  <c r="BI333" s="154"/>
      <c r="BJ333" s="154"/>
      <c r="BK333" s="154"/>
      <c r="BL333" s="154"/>
      <c r="BM333" s="154"/>
    </row>
    <row r="334">
      <c r="A334" s="154"/>
      <c r="B334" s="154"/>
      <c r="C334" s="305"/>
      <c r="D334" s="305"/>
      <c r="E334" s="305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  <c r="BI334" s="154"/>
      <c r="BJ334" s="154"/>
      <c r="BK334" s="154"/>
      <c r="BL334" s="154"/>
      <c r="BM334" s="154"/>
    </row>
    <row r="335">
      <c r="A335" s="154"/>
      <c r="B335" s="154"/>
      <c r="C335" s="305"/>
      <c r="D335" s="305"/>
      <c r="E335" s="305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  <c r="BI335" s="154"/>
      <c r="BJ335" s="154"/>
      <c r="BK335" s="154"/>
      <c r="BL335" s="154"/>
      <c r="BM335" s="154"/>
    </row>
    <row r="336">
      <c r="A336" s="154"/>
      <c r="B336" s="154"/>
      <c r="C336" s="305"/>
      <c r="D336" s="305"/>
      <c r="E336" s="305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  <c r="BI336" s="154"/>
      <c r="BJ336" s="154"/>
      <c r="BK336" s="154"/>
      <c r="BL336" s="154"/>
      <c r="BM336" s="154"/>
    </row>
    <row r="337">
      <c r="A337" s="154"/>
      <c r="B337" s="154"/>
      <c r="C337" s="305"/>
      <c r="D337" s="305"/>
      <c r="E337" s="305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  <c r="BI337" s="154"/>
      <c r="BJ337" s="154"/>
      <c r="BK337" s="154"/>
      <c r="BL337" s="154"/>
      <c r="BM337" s="154"/>
    </row>
    <row r="338">
      <c r="A338" s="154"/>
      <c r="B338" s="154"/>
      <c r="C338" s="305"/>
      <c r="D338" s="305"/>
      <c r="E338" s="305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  <c r="BI338" s="154"/>
      <c r="BJ338" s="154"/>
      <c r="BK338" s="154"/>
      <c r="BL338" s="154"/>
      <c r="BM338" s="154"/>
    </row>
    <row r="339">
      <c r="A339" s="154"/>
      <c r="B339" s="154"/>
      <c r="C339" s="305"/>
      <c r="D339" s="305"/>
      <c r="E339" s="305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  <c r="BI339" s="154"/>
      <c r="BJ339" s="154"/>
      <c r="BK339" s="154"/>
      <c r="BL339" s="154"/>
      <c r="BM339" s="154"/>
    </row>
    <row r="340">
      <c r="A340" s="154"/>
      <c r="B340" s="154"/>
      <c r="C340" s="305"/>
      <c r="D340" s="305"/>
      <c r="E340" s="305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  <c r="BI340" s="154"/>
      <c r="BJ340" s="154"/>
      <c r="BK340" s="154"/>
      <c r="BL340" s="154"/>
      <c r="BM340" s="154"/>
    </row>
    <row r="341">
      <c r="A341" s="154"/>
      <c r="B341" s="154"/>
      <c r="C341" s="305"/>
      <c r="D341" s="305"/>
      <c r="E341" s="305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  <c r="BI341" s="154"/>
      <c r="BJ341" s="154"/>
      <c r="BK341" s="154"/>
      <c r="BL341" s="154"/>
      <c r="BM341" s="154"/>
    </row>
    <row r="342">
      <c r="A342" s="154"/>
      <c r="B342" s="154"/>
      <c r="C342" s="305"/>
      <c r="D342" s="305"/>
      <c r="E342" s="305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  <c r="BI342" s="154"/>
      <c r="BJ342" s="154"/>
      <c r="BK342" s="154"/>
      <c r="BL342" s="154"/>
      <c r="BM342" s="154"/>
    </row>
    <row r="343">
      <c r="A343" s="154"/>
      <c r="B343" s="154"/>
      <c r="C343" s="305"/>
      <c r="D343" s="305"/>
      <c r="E343" s="305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  <c r="BI343" s="154"/>
      <c r="BJ343" s="154"/>
      <c r="BK343" s="154"/>
      <c r="BL343" s="154"/>
      <c r="BM343" s="154"/>
    </row>
    <row r="344">
      <c r="A344" s="154"/>
      <c r="B344" s="154"/>
      <c r="C344" s="305"/>
      <c r="D344" s="305"/>
      <c r="E344" s="305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  <c r="BI344" s="154"/>
      <c r="BJ344" s="154"/>
      <c r="BK344" s="154"/>
      <c r="BL344" s="154"/>
      <c r="BM344" s="154"/>
    </row>
    <row r="345">
      <c r="A345" s="154"/>
      <c r="B345" s="154"/>
      <c r="C345" s="305"/>
      <c r="D345" s="305"/>
      <c r="E345" s="305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  <c r="BI345" s="154"/>
      <c r="BJ345" s="154"/>
      <c r="BK345" s="154"/>
      <c r="BL345" s="154"/>
      <c r="BM345" s="154"/>
    </row>
    <row r="346">
      <c r="A346" s="154"/>
      <c r="B346" s="154"/>
      <c r="C346" s="305"/>
      <c r="D346" s="305"/>
      <c r="E346" s="305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  <c r="BI346" s="154"/>
      <c r="BJ346" s="154"/>
      <c r="BK346" s="154"/>
      <c r="BL346" s="154"/>
      <c r="BM346" s="154"/>
    </row>
    <row r="347">
      <c r="A347" s="154"/>
      <c r="B347" s="154"/>
      <c r="C347" s="305"/>
      <c r="D347" s="305"/>
      <c r="E347" s="305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  <c r="BI347" s="154"/>
      <c r="BJ347" s="154"/>
      <c r="BK347" s="154"/>
      <c r="BL347" s="154"/>
      <c r="BM347" s="154"/>
    </row>
    <row r="348">
      <c r="A348" s="154"/>
      <c r="B348" s="154"/>
      <c r="C348" s="305"/>
      <c r="D348" s="305"/>
      <c r="E348" s="305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  <c r="BI348" s="154"/>
      <c r="BJ348" s="154"/>
      <c r="BK348" s="154"/>
      <c r="BL348" s="154"/>
      <c r="BM348" s="154"/>
    </row>
    <row r="349">
      <c r="A349" s="154"/>
      <c r="B349" s="154"/>
      <c r="C349" s="305"/>
      <c r="D349" s="305"/>
      <c r="E349" s="305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  <c r="BI349" s="154"/>
      <c r="BJ349" s="154"/>
      <c r="BK349" s="154"/>
      <c r="BL349" s="154"/>
      <c r="BM349" s="154"/>
    </row>
    <row r="350">
      <c r="A350" s="154"/>
      <c r="B350" s="154"/>
      <c r="C350" s="305"/>
      <c r="D350" s="305"/>
      <c r="E350" s="305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  <c r="BI350" s="154"/>
      <c r="BJ350" s="154"/>
      <c r="BK350" s="154"/>
      <c r="BL350" s="154"/>
      <c r="BM350" s="154"/>
    </row>
    <row r="351">
      <c r="A351" s="154"/>
      <c r="B351" s="154"/>
      <c r="C351" s="305"/>
      <c r="D351" s="305"/>
      <c r="E351" s="305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  <c r="BI351" s="154"/>
      <c r="BJ351" s="154"/>
      <c r="BK351" s="154"/>
      <c r="BL351" s="154"/>
      <c r="BM351" s="154"/>
    </row>
    <row r="352">
      <c r="A352" s="154"/>
      <c r="B352" s="154"/>
      <c r="C352" s="305"/>
      <c r="D352" s="305"/>
      <c r="E352" s="305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  <c r="BI352" s="154"/>
      <c r="BJ352" s="154"/>
      <c r="BK352" s="154"/>
      <c r="BL352" s="154"/>
      <c r="BM352" s="154"/>
    </row>
    <row r="353">
      <c r="A353" s="154"/>
      <c r="B353" s="154"/>
      <c r="C353" s="305"/>
      <c r="D353" s="305"/>
      <c r="E353" s="305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  <c r="BI353" s="154"/>
      <c r="BJ353" s="154"/>
      <c r="BK353" s="154"/>
      <c r="BL353" s="154"/>
      <c r="BM353" s="154"/>
    </row>
    <row r="354">
      <c r="A354" s="154"/>
      <c r="B354" s="154"/>
      <c r="C354" s="305"/>
      <c r="D354" s="305"/>
      <c r="E354" s="305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4"/>
    </row>
    <row r="355">
      <c r="A355" s="154"/>
      <c r="B355" s="154"/>
      <c r="C355" s="305"/>
      <c r="D355" s="305"/>
      <c r="E355" s="305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  <c r="BI355" s="154"/>
      <c r="BJ355" s="154"/>
      <c r="BK355" s="154"/>
      <c r="BL355" s="154"/>
      <c r="BM355" s="154"/>
    </row>
    <row r="356">
      <c r="A356" s="154"/>
      <c r="B356" s="154"/>
      <c r="C356" s="305"/>
      <c r="D356" s="305"/>
      <c r="E356" s="305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  <c r="BI356" s="154"/>
      <c r="BJ356" s="154"/>
      <c r="BK356" s="154"/>
      <c r="BL356" s="154"/>
      <c r="BM356" s="154"/>
    </row>
    <row r="357">
      <c r="A357" s="154"/>
      <c r="B357" s="154"/>
      <c r="C357" s="305"/>
      <c r="D357" s="305"/>
      <c r="E357" s="305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  <c r="BI357" s="154"/>
      <c r="BJ357" s="154"/>
      <c r="BK357" s="154"/>
      <c r="BL357" s="154"/>
      <c r="BM357" s="154"/>
    </row>
    <row r="358">
      <c r="A358" s="154"/>
      <c r="B358" s="154"/>
      <c r="C358" s="305"/>
      <c r="D358" s="305"/>
      <c r="E358" s="305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  <c r="BI358" s="154"/>
      <c r="BJ358" s="154"/>
      <c r="BK358" s="154"/>
      <c r="BL358" s="154"/>
      <c r="BM358" s="154"/>
    </row>
    <row r="359">
      <c r="A359" s="154"/>
      <c r="B359" s="154"/>
      <c r="C359" s="305"/>
      <c r="D359" s="305"/>
      <c r="E359" s="305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  <c r="BI359" s="154"/>
      <c r="BJ359" s="154"/>
      <c r="BK359" s="154"/>
      <c r="BL359" s="154"/>
      <c r="BM359" s="154"/>
    </row>
    <row r="360">
      <c r="A360" s="154"/>
      <c r="B360" s="154"/>
      <c r="C360" s="305"/>
      <c r="D360" s="305"/>
      <c r="E360" s="305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  <c r="BI360" s="154"/>
      <c r="BJ360" s="154"/>
      <c r="BK360" s="154"/>
      <c r="BL360" s="154"/>
      <c r="BM360" s="154"/>
    </row>
    <row r="361">
      <c r="A361" s="154"/>
      <c r="B361" s="154"/>
      <c r="C361" s="305"/>
      <c r="D361" s="305"/>
      <c r="E361" s="305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  <c r="BI361" s="154"/>
      <c r="BJ361" s="154"/>
      <c r="BK361" s="154"/>
      <c r="BL361" s="154"/>
      <c r="BM361" s="154"/>
    </row>
    <row r="362">
      <c r="A362" s="154"/>
      <c r="B362" s="154"/>
      <c r="C362" s="305"/>
      <c r="D362" s="305"/>
      <c r="E362" s="305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</row>
    <row r="363">
      <c r="A363" s="154"/>
      <c r="B363" s="154"/>
      <c r="C363" s="305"/>
      <c r="D363" s="305"/>
      <c r="E363" s="305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  <c r="BI363" s="154"/>
      <c r="BJ363" s="154"/>
      <c r="BK363" s="154"/>
      <c r="BL363" s="154"/>
      <c r="BM363" s="154"/>
    </row>
    <row r="364">
      <c r="A364" s="154"/>
      <c r="B364" s="154"/>
      <c r="C364" s="305"/>
      <c r="D364" s="305"/>
      <c r="E364" s="305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  <c r="BI364" s="154"/>
      <c r="BJ364" s="154"/>
      <c r="BK364" s="154"/>
      <c r="BL364" s="154"/>
      <c r="BM364" s="154"/>
    </row>
    <row r="365">
      <c r="A365" s="154"/>
      <c r="B365" s="154"/>
      <c r="C365" s="305"/>
      <c r="D365" s="305"/>
      <c r="E365" s="305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  <c r="BI365" s="154"/>
      <c r="BJ365" s="154"/>
      <c r="BK365" s="154"/>
      <c r="BL365" s="154"/>
      <c r="BM365" s="154"/>
    </row>
    <row r="366">
      <c r="A366" s="154"/>
      <c r="B366" s="154"/>
      <c r="C366" s="305"/>
      <c r="D366" s="305"/>
      <c r="E366" s="305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  <c r="BI366" s="154"/>
      <c r="BJ366" s="154"/>
      <c r="BK366" s="154"/>
      <c r="BL366" s="154"/>
      <c r="BM366" s="154"/>
    </row>
    <row r="367">
      <c r="A367" s="154"/>
      <c r="B367" s="154"/>
      <c r="C367" s="305"/>
      <c r="D367" s="305"/>
      <c r="E367" s="305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  <c r="BI367" s="154"/>
      <c r="BJ367" s="154"/>
      <c r="BK367" s="154"/>
      <c r="BL367" s="154"/>
      <c r="BM367" s="154"/>
    </row>
    <row r="368">
      <c r="A368" s="154"/>
      <c r="B368" s="154"/>
      <c r="C368" s="305"/>
      <c r="D368" s="305"/>
      <c r="E368" s="305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  <c r="BI368" s="154"/>
      <c r="BJ368" s="154"/>
      <c r="BK368" s="154"/>
      <c r="BL368" s="154"/>
      <c r="BM368" s="154"/>
    </row>
    <row r="369">
      <c r="A369" s="154"/>
      <c r="B369" s="154"/>
      <c r="C369" s="305"/>
      <c r="D369" s="305"/>
      <c r="E369" s="305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  <c r="BI369" s="154"/>
      <c r="BJ369" s="154"/>
      <c r="BK369" s="154"/>
      <c r="BL369" s="154"/>
      <c r="BM369" s="154"/>
    </row>
    <row r="370">
      <c r="A370" s="154"/>
      <c r="B370" s="154"/>
      <c r="C370" s="305"/>
      <c r="D370" s="305"/>
      <c r="E370" s="305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  <c r="BI370" s="154"/>
      <c r="BJ370" s="154"/>
      <c r="BK370" s="154"/>
      <c r="BL370" s="154"/>
      <c r="BM370" s="154"/>
    </row>
    <row r="371">
      <c r="A371" s="154"/>
      <c r="B371" s="154"/>
      <c r="C371" s="305"/>
      <c r="D371" s="305"/>
      <c r="E371" s="305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  <c r="BI371" s="154"/>
      <c r="BJ371" s="154"/>
      <c r="BK371" s="154"/>
      <c r="BL371" s="154"/>
      <c r="BM371" s="154"/>
    </row>
    <row r="372">
      <c r="A372" s="154"/>
      <c r="B372" s="154"/>
      <c r="C372" s="305"/>
      <c r="D372" s="305"/>
      <c r="E372" s="305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  <c r="BI372" s="154"/>
      <c r="BJ372" s="154"/>
      <c r="BK372" s="154"/>
      <c r="BL372" s="154"/>
      <c r="BM372" s="154"/>
    </row>
    <row r="373">
      <c r="A373" s="154"/>
      <c r="B373" s="154"/>
      <c r="C373" s="305"/>
      <c r="D373" s="305"/>
      <c r="E373" s="305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  <c r="BI373" s="154"/>
      <c r="BJ373" s="154"/>
      <c r="BK373" s="154"/>
      <c r="BL373" s="154"/>
      <c r="BM373" s="154"/>
    </row>
    <row r="374">
      <c r="A374" s="154"/>
      <c r="B374" s="154"/>
      <c r="C374" s="305"/>
      <c r="D374" s="305"/>
      <c r="E374" s="305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  <c r="BI374" s="154"/>
      <c r="BJ374" s="154"/>
      <c r="BK374" s="154"/>
      <c r="BL374" s="154"/>
      <c r="BM374" s="154"/>
    </row>
    <row r="375">
      <c r="A375" s="154"/>
      <c r="B375" s="154"/>
      <c r="C375" s="305"/>
      <c r="D375" s="305"/>
      <c r="E375" s="305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  <c r="BI375" s="154"/>
      <c r="BJ375" s="154"/>
      <c r="BK375" s="154"/>
      <c r="BL375" s="154"/>
      <c r="BM375" s="154"/>
    </row>
    <row r="376">
      <c r="A376" s="154"/>
      <c r="B376" s="154"/>
      <c r="C376" s="305"/>
      <c r="D376" s="305"/>
      <c r="E376" s="305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  <c r="BI376" s="154"/>
      <c r="BJ376" s="154"/>
      <c r="BK376" s="154"/>
      <c r="BL376" s="154"/>
      <c r="BM376" s="154"/>
    </row>
    <row r="377">
      <c r="A377" s="154"/>
      <c r="B377" s="154"/>
      <c r="C377" s="305"/>
      <c r="D377" s="305"/>
      <c r="E377" s="305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  <c r="BI377" s="154"/>
      <c r="BJ377" s="154"/>
      <c r="BK377" s="154"/>
      <c r="BL377" s="154"/>
      <c r="BM377" s="154"/>
    </row>
    <row r="378">
      <c r="A378" s="154"/>
      <c r="B378" s="154"/>
      <c r="C378" s="305"/>
      <c r="D378" s="305"/>
      <c r="E378" s="305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  <c r="BI378" s="154"/>
      <c r="BJ378" s="154"/>
      <c r="BK378" s="154"/>
      <c r="BL378" s="154"/>
      <c r="BM378" s="154"/>
    </row>
    <row r="379">
      <c r="A379" s="154"/>
      <c r="B379" s="154"/>
      <c r="C379" s="305"/>
      <c r="D379" s="305"/>
      <c r="E379" s="305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  <c r="BI379" s="154"/>
      <c r="BJ379" s="154"/>
      <c r="BK379" s="154"/>
      <c r="BL379" s="154"/>
      <c r="BM379" s="154"/>
    </row>
    <row r="380">
      <c r="A380" s="154"/>
      <c r="B380" s="154"/>
      <c r="C380" s="305"/>
      <c r="D380" s="305"/>
      <c r="E380" s="305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  <c r="BI380" s="154"/>
      <c r="BJ380" s="154"/>
      <c r="BK380" s="154"/>
      <c r="BL380" s="154"/>
      <c r="BM380" s="154"/>
    </row>
    <row r="381">
      <c r="A381" s="154"/>
      <c r="B381" s="154"/>
      <c r="C381" s="305"/>
      <c r="D381" s="305"/>
      <c r="E381" s="305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  <c r="BI381" s="154"/>
      <c r="BJ381" s="154"/>
      <c r="BK381" s="154"/>
      <c r="BL381" s="154"/>
      <c r="BM381" s="154"/>
    </row>
    <row r="382">
      <c r="A382" s="154"/>
      <c r="B382" s="154"/>
      <c r="C382" s="305"/>
      <c r="D382" s="305"/>
      <c r="E382" s="305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  <c r="BI382" s="154"/>
      <c r="BJ382" s="154"/>
      <c r="BK382" s="154"/>
      <c r="BL382" s="154"/>
      <c r="BM382" s="154"/>
    </row>
    <row r="383">
      <c r="A383" s="154"/>
      <c r="B383" s="154"/>
      <c r="C383" s="305"/>
      <c r="D383" s="305"/>
      <c r="E383" s="305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  <c r="BI383" s="154"/>
      <c r="BJ383" s="154"/>
      <c r="BK383" s="154"/>
      <c r="BL383" s="154"/>
      <c r="BM383" s="154"/>
    </row>
    <row r="384">
      <c r="A384" s="154"/>
      <c r="B384" s="154"/>
      <c r="C384" s="305"/>
      <c r="D384" s="305"/>
      <c r="E384" s="305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  <c r="BI384" s="154"/>
      <c r="BJ384" s="154"/>
      <c r="BK384" s="154"/>
      <c r="BL384" s="154"/>
      <c r="BM384" s="154"/>
    </row>
    <row r="385">
      <c r="A385" s="154"/>
      <c r="B385" s="154"/>
      <c r="C385" s="305"/>
      <c r="D385" s="305"/>
      <c r="E385" s="305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  <c r="BI385" s="154"/>
      <c r="BJ385" s="154"/>
      <c r="BK385" s="154"/>
      <c r="BL385" s="154"/>
      <c r="BM385" s="154"/>
    </row>
    <row r="386">
      <c r="A386" s="154"/>
      <c r="B386" s="154"/>
      <c r="C386" s="305"/>
      <c r="D386" s="305"/>
      <c r="E386" s="305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  <c r="BI386" s="154"/>
      <c r="BJ386" s="154"/>
      <c r="BK386" s="154"/>
      <c r="BL386" s="154"/>
      <c r="BM386" s="154"/>
    </row>
    <row r="387">
      <c r="A387" s="154"/>
      <c r="B387" s="154"/>
      <c r="C387" s="305"/>
      <c r="D387" s="305"/>
      <c r="E387" s="305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  <c r="BI387" s="154"/>
      <c r="BJ387" s="154"/>
      <c r="BK387" s="154"/>
      <c r="BL387" s="154"/>
      <c r="BM387" s="154"/>
    </row>
    <row r="388">
      <c r="A388" s="154"/>
      <c r="B388" s="154"/>
      <c r="C388" s="305"/>
      <c r="D388" s="305"/>
      <c r="E388" s="305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  <c r="BI388" s="154"/>
      <c r="BJ388" s="154"/>
      <c r="BK388" s="154"/>
      <c r="BL388" s="154"/>
      <c r="BM388" s="154"/>
    </row>
    <row r="389">
      <c r="A389" s="154"/>
      <c r="B389" s="154"/>
      <c r="C389" s="305"/>
      <c r="D389" s="305"/>
      <c r="E389" s="305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  <c r="BI389" s="154"/>
      <c r="BJ389" s="154"/>
      <c r="BK389" s="154"/>
      <c r="BL389" s="154"/>
      <c r="BM389" s="154"/>
    </row>
    <row r="390">
      <c r="A390" s="154"/>
      <c r="B390" s="154"/>
      <c r="C390" s="305"/>
      <c r="D390" s="305"/>
      <c r="E390" s="305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  <c r="BI390" s="154"/>
      <c r="BJ390" s="154"/>
      <c r="BK390" s="154"/>
      <c r="BL390" s="154"/>
      <c r="BM390" s="154"/>
    </row>
    <row r="391">
      <c r="A391" s="154"/>
      <c r="B391" s="154"/>
      <c r="C391" s="305"/>
      <c r="D391" s="305"/>
      <c r="E391" s="305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  <c r="BI391" s="154"/>
      <c r="BJ391" s="154"/>
      <c r="BK391" s="154"/>
      <c r="BL391" s="154"/>
      <c r="BM391" s="154"/>
    </row>
    <row r="392">
      <c r="A392" s="154"/>
      <c r="B392" s="154"/>
      <c r="C392" s="305"/>
      <c r="D392" s="305"/>
      <c r="E392" s="305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  <c r="BI392" s="154"/>
      <c r="BJ392" s="154"/>
      <c r="BK392" s="154"/>
      <c r="BL392" s="154"/>
      <c r="BM392" s="154"/>
    </row>
    <row r="393">
      <c r="A393" s="154"/>
      <c r="B393" s="154"/>
      <c r="C393" s="305"/>
      <c r="D393" s="305"/>
      <c r="E393" s="305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  <c r="BI393" s="154"/>
      <c r="BJ393" s="154"/>
      <c r="BK393" s="154"/>
      <c r="BL393" s="154"/>
      <c r="BM393" s="154"/>
    </row>
    <row r="394">
      <c r="A394" s="154"/>
      <c r="B394" s="154"/>
      <c r="C394" s="305"/>
      <c r="D394" s="305"/>
      <c r="E394" s="305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  <c r="BI394" s="154"/>
      <c r="BJ394" s="154"/>
      <c r="BK394" s="154"/>
      <c r="BL394" s="154"/>
      <c r="BM394" s="154"/>
    </row>
    <row r="395">
      <c r="A395" s="154"/>
      <c r="B395" s="154"/>
      <c r="C395" s="305"/>
      <c r="D395" s="305"/>
      <c r="E395" s="305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  <c r="BI395" s="154"/>
      <c r="BJ395" s="154"/>
      <c r="BK395" s="154"/>
      <c r="BL395" s="154"/>
      <c r="BM395" s="154"/>
    </row>
    <row r="396">
      <c r="A396" s="154"/>
      <c r="B396" s="154"/>
      <c r="C396" s="305"/>
      <c r="D396" s="305"/>
      <c r="E396" s="305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  <c r="BI396" s="154"/>
      <c r="BJ396" s="154"/>
      <c r="BK396" s="154"/>
      <c r="BL396" s="154"/>
      <c r="BM396" s="154"/>
    </row>
    <row r="397">
      <c r="A397" s="154"/>
      <c r="B397" s="154"/>
      <c r="C397" s="305"/>
      <c r="D397" s="305"/>
      <c r="E397" s="305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  <c r="BI397" s="154"/>
      <c r="BJ397" s="154"/>
      <c r="BK397" s="154"/>
      <c r="BL397" s="154"/>
      <c r="BM397" s="154"/>
    </row>
    <row r="398">
      <c r="A398" s="154"/>
      <c r="B398" s="154"/>
      <c r="C398" s="305"/>
      <c r="D398" s="305"/>
      <c r="E398" s="305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  <c r="BI398" s="154"/>
      <c r="BJ398" s="154"/>
      <c r="BK398" s="154"/>
      <c r="BL398" s="154"/>
      <c r="BM398" s="154"/>
    </row>
    <row r="399">
      <c r="A399" s="154"/>
      <c r="B399" s="154"/>
      <c r="C399" s="305"/>
      <c r="D399" s="305"/>
      <c r="E399" s="305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  <c r="BI399" s="154"/>
      <c r="BJ399" s="154"/>
      <c r="BK399" s="154"/>
      <c r="BL399" s="154"/>
      <c r="BM399" s="154"/>
    </row>
    <row r="400">
      <c r="A400" s="154"/>
      <c r="B400" s="154"/>
      <c r="C400" s="305"/>
      <c r="D400" s="305"/>
      <c r="E400" s="305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  <c r="BI400" s="154"/>
      <c r="BJ400" s="154"/>
      <c r="BK400" s="154"/>
      <c r="BL400" s="154"/>
      <c r="BM400" s="154"/>
    </row>
    <row r="401">
      <c r="A401" s="154"/>
      <c r="B401" s="154"/>
      <c r="C401" s="305"/>
      <c r="D401" s="305"/>
      <c r="E401" s="305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  <c r="BI401" s="154"/>
      <c r="BJ401" s="154"/>
      <c r="BK401" s="154"/>
      <c r="BL401" s="154"/>
      <c r="BM401" s="154"/>
    </row>
    <row r="402">
      <c r="A402" s="154"/>
      <c r="B402" s="154"/>
      <c r="C402" s="305"/>
      <c r="D402" s="305"/>
      <c r="E402" s="305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  <c r="BI402" s="154"/>
      <c r="BJ402" s="154"/>
      <c r="BK402" s="154"/>
      <c r="BL402" s="154"/>
      <c r="BM402" s="154"/>
    </row>
    <row r="403">
      <c r="A403" s="154"/>
      <c r="B403" s="154"/>
      <c r="C403" s="305"/>
      <c r="D403" s="305"/>
      <c r="E403" s="305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  <c r="BI403" s="154"/>
      <c r="BJ403" s="154"/>
      <c r="BK403" s="154"/>
      <c r="BL403" s="154"/>
      <c r="BM403" s="154"/>
    </row>
    <row r="404">
      <c r="A404" s="154"/>
      <c r="B404" s="154"/>
      <c r="C404" s="305"/>
      <c r="D404" s="305"/>
      <c r="E404" s="305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  <c r="BI404" s="154"/>
      <c r="BJ404" s="154"/>
      <c r="BK404" s="154"/>
      <c r="BL404" s="154"/>
      <c r="BM404" s="154"/>
    </row>
    <row r="405">
      <c r="A405" s="154"/>
      <c r="B405" s="154"/>
      <c r="C405" s="305"/>
      <c r="D405" s="305"/>
      <c r="E405" s="305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  <c r="BI405" s="154"/>
      <c r="BJ405" s="154"/>
      <c r="BK405" s="154"/>
      <c r="BL405" s="154"/>
      <c r="BM405" s="154"/>
    </row>
    <row r="406">
      <c r="A406" s="154"/>
      <c r="B406" s="154"/>
      <c r="C406" s="305"/>
      <c r="D406" s="305"/>
      <c r="E406" s="305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  <c r="BI406" s="154"/>
      <c r="BJ406" s="154"/>
      <c r="BK406" s="154"/>
      <c r="BL406" s="154"/>
      <c r="BM406" s="154"/>
    </row>
    <row r="407">
      <c r="A407" s="154"/>
      <c r="B407" s="154"/>
      <c r="C407" s="305"/>
      <c r="D407" s="305"/>
      <c r="E407" s="305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  <c r="BI407" s="154"/>
      <c r="BJ407" s="154"/>
      <c r="BK407" s="154"/>
      <c r="BL407" s="154"/>
      <c r="BM407" s="154"/>
    </row>
    <row r="408">
      <c r="A408" s="154"/>
      <c r="B408" s="154"/>
      <c r="C408" s="305"/>
      <c r="D408" s="305"/>
      <c r="E408" s="305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  <c r="BI408" s="154"/>
      <c r="BJ408" s="154"/>
      <c r="BK408" s="154"/>
      <c r="BL408" s="154"/>
      <c r="BM408" s="154"/>
    </row>
    <row r="409">
      <c r="A409" s="154"/>
      <c r="B409" s="154"/>
      <c r="C409" s="305"/>
      <c r="D409" s="305"/>
      <c r="E409" s="305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  <c r="BI409" s="154"/>
      <c r="BJ409" s="154"/>
      <c r="BK409" s="154"/>
      <c r="BL409" s="154"/>
      <c r="BM409" s="154"/>
    </row>
    <row r="410">
      <c r="A410" s="154"/>
      <c r="B410" s="154"/>
      <c r="C410" s="305"/>
      <c r="D410" s="305"/>
      <c r="E410" s="305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  <c r="BI410" s="154"/>
      <c r="BJ410" s="154"/>
      <c r="BK410" s="154"/>
      <c r="BL410" s="154"/>
      <c r="BM410" s="154"/>
    </row>
    <row r="411">
      <c r="A411" s="154"/>
      <c r="B411" s="154"/>
      <c r="C411" s="305"/>
      <c r="D411" s="305"/>
      <c r="E411" s="305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  <c r="BI411" s="154"/>
      <c r="BJ411" s="154"/>
      <c r="BK411" s="154"/>
      <c r="BL411" s="154"/>
      <c r="BM411" s="154"/>
    </row>
    <row r="412">
      <c r="A412" s="154"/>
      <c r="B412" s="154"/>
      <c r="C412" s="305"/>
      <c r="D412" s="305"/>
      <c r="E412" s="305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  <c r="BI412" s="154"/>
      <c r="BJ412" s="154"/>
      <c r="BK412" s="154"/>
      <c r="BL412" s="154"/>
      <c r="BM412" s="154"/>
    </row>
    <row r="413">
      <c r="A413" s="154"/>
      <c r="B413" s="154"/>
      <c r="C413" s="305"/>
      <c r="D413" s="305"/>
      <c r="E413" s="305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  <c r="BI413" s="154"/>
      <c r="BJ413" s="154"/>
      <c r="BK413" s="154"/>
      <c r="BL413" s="154"/>
      <c r="BM413" s="154"/>
    </row>
    <row r="414">
      <c r="A414" s="154"/>
      <c r="B414" s="154"/>
      <c r="C414" s="305"/>
      <c r="D414" s="305"/>
      <c r="E414" s="305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  <c r="BI414" s="154"/>
      <c r="BJ414" s="154"/>
      <c r="BK414" s="154"/>
      <c r="BL414" s="154"/>
      <c r="BM414" s="154"/>
    </row>
    <row r="415">
      <c r="A415" s="154"/>
      <c r="B415" s="154"/>
      <c r="C415" s="305"/>
      <c r="D415" s="305"/>
      <c r="E415" s="305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  <c r="BI415" s="154"/>
      <c r="BJ415" s="154"/>
      <c r="BK415" s="154"/>
      <c r="BL415" s="154"/>
      <c r="BM415" s="154"/>
    </row>
    <row r="416">
      <c r="A416" s="154"/>
      <c r="B416" s="154"/>
      <c r="C416" s="305"/>
      <c r="D416" s="305"/>
      <c r="E416" s="305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  <c r="BI416" s="154"/>
      <c r="BJ416" s="154"/>
      <c r="BK416" s="154"/>
      <c r="BL416" s="154"/>
      <c r="BM416" s="154"/>
    </row>
    <row r="417">
      <c r="A417" s="154"/>
      <c r="B417" s="154"/>
      <c r="C417" s="305"/>
      <c r="D417" s="305"/>
      <c r="E417" s="305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  <c r="BI417" s="154"/>
      <c r="BJ417" s="154"/>
      <c r="BK417" s="154"/>
      <c r="BL417" s="154"/>
      <c r="BM417" s="154"/>
    </row>
    <row r="418">
      <c r="A418" s="154"/>
      <c r="B418" s="154"/>
      <c r="C418" s="305"/>
      <c r="D418" s="305"/>
      <c r="E418" s="305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  <c r="BI418" s="154"/>
      <c r="BJ418" s="154"/>
      <c r="BK418" s="154"/>
      <c r="BL418" s="154"/>
      <c r="BM418" s="154"/>
    </row>
    <row r="419">
      <c r="A419" s="154"/>
      <c r="B419" s="154"/>
      <c r="C419" s="305"/>
      <c r="D419" s="305"/>
      <c r="E419" s="305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  <c r="BI419" s="154"/>
      <c r="BJ419" s="154"/>
      <c r="BK419" s="154"/>
      <c r="BL419" s="154"/>
      <c r="BM419" s="154"/>
    </row>
    <row r="420">
      <c r="A420" s="154"/>
      <c r="B420" s="154"/>
      <c r="C420" s="305"/>
      <c r="D420" s="305"/>
      <c r="E420" s="305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  <c r="BI420" s="154"/>
      <c r="BJ420" s="154"/>
      <c r="BK420" s="154"/>
      <c r="BL420" s="154"/>
      <c r="BM420" s="154"/>
    </row>
    <row r="421">
      <c r="A421" s="154"/>
      <c r="B421" s="154"/>
      <c r="C421" s="305"/>
      <c r="D421" s="305"/>
      <c r="E421" s="305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  <c r="BI421" s="154"/>
      <c r="BJ421" s="154"/>
      <c r="BK421" s="154"/>
      <c r="BL421" s="154"/>
      <c r="BM421" s="154"/>
    </row>
    <row r="422">
      <c r="A422" s="154"/>
      <c r="B422" s="154"/>
      <c r="C422" s="305"/>
      <c r="D422" s="305"/>
      <c r="E422" s="305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  <c r="BI422" s="154"/>
      <c r="BJ422" s="154"/>
      <c r="BK422" s="154"/>
      <c r="BL422" s="154"/>
      <c r="BM422" s="154"/>
    </row>
    <row r="423">
      <c r="A423" s="154"/>
      <c r="B423" s="154"/>
      <c r="C423" s="305"/>
      <c r="D423" s="305"/>
      <c r="E423" s="305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  <c r="BI423" s="154"/>
      <c r="BJ423" s="154"/>
      <c r="BK423" s="154"/>
      <c r="BL423" s="154"/>
      <c r="BM423" s="154"/>
    </row>
    <row r="424">
      <c r="A424" s="154"/>
      <c r="B424" s="154"/>
      <c r="C424" s="305"/>
      <c r="D424" s="305"/>
      <c r="E424" s="305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  <c r="BI424" s="154"/>
      <c r="BJ424" s="154"/>
      <c r="BK424" s="154"/>
      <c r="BL424" s="154"/>
      <c r="BM424" s="154"/>
    </row>
    <row r="425">
      <c r="A425" s="154"/>
      <c r="B425" s="154"/>
      <c r="C425" s="305"/>
      <c r="D425" s="305"/>
      <c r="E425" s="305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  <c r="BI425" s="154"/>
      <c r="BJ425" s="154"/>
      <c r="BK425" s="154"/>
      <c r="BL425" s="154"/>
      <c r="BM425" s="154"/>
    </row>
    <row r="426">
      <c r="A426" s="154"/>
      <c r="B426" s="154"/>
      <c r="C426" s="305"/>
      <c r="D426" s="305"/>
      <c r="E426" s="305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  <c r="BI426" s="154"/>
      <c r="BJ426" s="154"/>
      <c r="BK426" s="154"/>
      <c r="BL426" s="154"/>
      <c r="BM426" s="154"/>
    </row>
    <row r="427">
      <c r="A427" s="154"/>
      <c r="B427" s="154"/>
      <c r="C427" s="305"/>
      <c r="D427" s="305"/>
      <c r="E427" s="305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  <c r="BI427" s="154"/>
      <c r="BJ427" s="154"/>
      <c r="BK427" s="154"/>
      <c r="BL427" s="154"/>
      <c r="BM427" s="154"/>
    </row>
    <row r="428">
      <c r="A428" s="154"/>
      <c r="B428" s="154"/>
      <c r="C428" s="305"/>
      <c r="D428" s="305"/>
      <c r="E428" s="305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  <c r="BI428" s="154"/>
      <c r="BJ428" s="154"/>
      <c r="BK428" s="154"/>
      <c r="BL428" s="154"/>
      <c r="BM428" s="154"/>
    </row>
    <row r="429">
      <c r="A429" s="154"/>
      <c r="B429" s="154"/>
      <c r="C429" s="305"/>
      <c r="D429" s="305"/>
      <c r="E429" s="305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  <c r="BI429" s="154"/>
      <c r="BJ429" s="154"/>
      <c r="BK429" s="154"/>
      <c r="BL429" s="154"/>
      <c r="BM429" s="154"/>
    </row>
    <row r="430">
      <c r="A430" s="154"/>
      <c r="B430" s="154"/>
      <c r="C430" s="305"/>
      <c r="D430" s="305"/>
      <c r="E430" s="305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  <c r="BI430" s="154"/>
      <c r="BJ430" s="154"/>
      <c r="BK430" s="154"/>
      <c r="BL430" s="154"/>
      <c r="BM430" s="154"/>
    </row>
    <row r="431">
      <c r="A431" s="154"/>
      <c r="B431" s="154"/>
      <c r="C431" s="305"/>
      <c r="D431" s="305"/>
      <c r="E431" s="305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  <c r="BI431" s="154"/>
      <c r="BJ431" s="154"/>
      <c r="BK431" s="154"/>
      <c r="BL431" s="154"/>
      <c r="BM431" s="154"/>
    </row>
    <row r="432">
      <c r="A432" s="154"/>
      <c r="B432" s="154"/>
      <c r="C432" s="305"/>
      <c r="D432" s="305"/>
      <c r="E432" s="305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  <c r="BI432" s="154"/>
      <c r="BJ432" s="154"/>
      <c r="BK432" s="154"/>
      <c r="BL432" s="154"/>
      <c r="BM432" s="154"/>
    </row>
    <row r="433">
      <c r="A433" s="154"/>
      <c r="B433" s="154"/>
      <c r="C433" s="305"/>
      <c r="D433" s="305"/>
      <c r="E433" s="305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  <c r="BI433" s="154"/>
      <c r="BJ433" s="154"/>
      <c r="BK433" s="154"/>
      <c r="BL433" s="154"/>
      <c r="BM433" s="154"/>
    </row>
    <row r="434">
      <c r="A434" s="154"/>
      <c r="B434" s="154"/>
      <c r="C434" s="305"/>
      <c r="D434" s="305"/>
      <c r="E434" s="305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  <c r="BI434" s="154"/>
      <c r="BJ434" s="154"/>
      <c r="BK434" s="154"/>
      <c r="BL434" s="154"/>
      <c r="BM434" s="154"/>
    </row>
    <row r="435">
      <c r="A435" s="154"/>
      <c r="B435" s="154"/>
      <c r="C435" s="305"/>
      <c r="D435" s="305"/>
      <c r="E435" s="305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  <c r="BI435" s="154"/>
      <c r="BJ435" s="154"/>
      <c r="BK435" s="154"/>
      <c r="BL435" s="154"/>
      <c r="BM435" s="154"/>
    </row>
    <row r="436">
      <c r="A436" s="154"/>
      <c r="B436" s="154"/>
      <c r="C436" s="305"/>
      <c r="D436" s="305"/>
      <c r="E436" s="305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  <c r="BI436" s="154"/>
      <c r="BJ436" s="154"/>
      <c r="BK436" s="154"/>
      <c r="BL436" s="154"/>
      <c r="BM436" s="154"/>
    </row>
    <row r="437">
      <c r="A437" s="154"/>
      <c r="B437" s="154"/>
      <c r="C437" s="305"/>
      <c r="D437" s="305"/>
      <c r="E437" s="305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  <c r="BI437" s="154"/>
      <c r="BJ437" s="154"/>
      <c r="BK437" s="154"/>
      <c r="BL437" s="154"/>
      <c r="BM437" s="154"/>
    </row>
    <row r="438">
      <c r="A438" s="154"/>
      <c r="B438" s="154"/>
      <c r="C438" s="305"/>
      <c r="D438" s="305"/>
      <c r="E438" s="305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  <c r="BI438" s="154"/>
      <c r="BJ438" s="154"/>
      <c r="BK438" s="154"/>
      <c r="BL438" s="154"/>
      <c r="BM438" s="154"/>
    </row>
    <row r="439">
      <c r="A439" s="154"/>
      <c r="B439" s="154"/>
      <c r="C439" s="305"/>
      <c r="D439" s="305"/>
      <c r="E439" s="305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  <c r="BI439" s="154"/>
      <c r="BJ439" s="154"/>
      <c r="BK439" s="154"/>
      <c r="BL439" s="154"/>
      <c r="BM439" s="154"/>
    </row>
    <row r="440">
      <c r="A440" s="154"/>
      <c r="B440" s="154"/>
      <c r="C440" s="305"/>
      <c r="D440" s="305"/>
      <c r="E440" s="305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  <c r="BI440" s="154"/>
      <c r="BJ440" s="154"/>
      <c r="BK440" s="154"/>
      <c r="BL440" s="154"/>
      <c r="BM440" s="154"/>
    </row>
    <row r="441">
      <c r="A441" s="154"/>
      <c r="B441" s="154"/>
      <c r="C441" s="305"/>
      <c r="D441" s="305"/>
      <c r="E441" s="305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  <c r="BI441" s="154"/>
      <c r="BJ441" s="154"/>
      <c r="BK441" s="154"/>
      <c r="BL441" s="154"/>
      <c r="BM441" s="154"/>
    </row>
    <row r="442">
      <c r="A442" s="154"/>
      <c r="B442" s="154"/>
      <c r="C442" s="305"/>
      <c r="D442" s="305"/>
      <c r="E442" s="305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  <c r="BI442" s="154"/>
      <c r="BJ442" s="154"/>
      <c r="BK442" s="154"/>
      <c r="BL442" s="154"/>
      <c r="BM442" s="154"/>
    </row>
    <row r="443">
      <c r="A443" s="154"/>
      <c r="B443" s="154"/>
      <c r="C443" s="305"/>
      <c r="D443" s="305"/>
      <c r="E443" s="305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  <c r="BI443" s="154"/>
      <c r="BJ443" s="154"/>
      <c r="BK443" s="154"/>
      <c r="BL443" s="154"/>
      <c r="BM443" s="154"/>
    </row>
    <row r="444">
      <c r="A444" s="154"/>
      <c r="B444" s="154"/>
      <c r="C444" s="305"/>
      <c r="D444" s="305"/>
      <c r="E444" s="305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  <c r="BI444" s="154"/>
      <c r="BJ444" s="154"/>
      <c r="BK444" s="154"/>
      <c r="BL444" s="154"/>
      <c r="BM444" s="154"/>
    </row>
    <row r="445">
      <c r="A445" s="154"/>
      <c r="B445" s="154"/>
      <c r="C445" s="305"/>
      <c r="D445" s="305"/>
      <c r="E445" s="305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  <c r="BI445" s="154"/>
      <c r="BJ445" s="154"/>
      <c r="BK445" s="154"/>
      <c r="BL445" s="154"/>
      <c r="BM445" s="154"/>
    </row>
    <row r="446">
      <c r="A446" s="154"/>
      <c r="B446" s="154"/>
      <c r="C446" s="305"/>
      <c r="D446" s="305"/>
      <c r="E446" s="305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  <c r="BI446" s="154"/>
      <c r="BJ446" s="154"/>
      <c r="BK446" s="154"/>
      <c r="BL446" s="154"/>
      <c r="BM446" s="154"/>
    </row>
    <row r="447">
      <c r="A447" s="154"/>
      <c r="B447" s="154"/>
      <c r="C447" s="305"/>
      <c r="D447" s="305"/>
      <c r="E447" s="305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  <c r="BI447" s="154"/>
      <c r="BJ447" s="154"/>
      <c r="BK447" s="154"/>
      <c r="BL447" s="154"/>
      <c r="BM447" s="154"/>
    </row>
    <row r="448">
      <c r="A448" s="154"/>
      <c r="B448" s="154"/>
      <c r="C448" s="305"/>
      <c r="D448" s="305"/>
      <c r="E448" s="305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  <c r="BI448" s="154"/>
      <c r="BJ448" s="154"/>
      <c r="BK448" s="154"/>
      <c r="BL448" s="154"/>
      <c r="BM448" s="154"/>
    </row>
    <row r="449">
      <c r="A449" s="154"/>
      <c r="B449" s="154"/>
      <c r="C449" s="305"/>
      <c r="D449" s="305"/>
      <c r="E449" s="305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  <c r="BI449" s="154"/>
      <c r="BJ449" s="154"/>
      <c r="BK449" s="154"/>
      <c r="BL449" s="154"/>
      <c r="BM449" s="154"/>
    </row>
    <row r="450">
      <c r="A450" s="154"/>
      <c r="B450" s="154"/>
      <c r="C450" s="305"/>
      <c r="D450" s="305"/>
      <c r="E450" s="305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  <c r="BI450" s="154"/>
      <c r="BJ450" s="154"/>
      <c r="BK450" s="154"/>
      <c r="BL450" s="154"/>
      <c r="BM450" s="154"/>
    </row>
    <row r="451">
      <c r="A451" s="154"/>
      <c r="B451" s="154"/>
      <c r="C451" s="305"/>
      <c r="D451" s="305"/>
      <c r="E451" s="305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  <c r="BI451" s="154"/>
      <c r="BJ451" s="154"/>
      <c r="BK451" s="154"/>
      <c r="BL451" s="154"/>
      <c r="BM451" s="154"/>
    </row>
    <row r="452">
      <c r="A452" s="154"/>
      <c r="B452" s="154"/>
      <c r="C452" s="305"/>
      <c r="D452" s="305"/>
      <c r="E452" s="305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  <c r="BI452" s="154"/>
      <c r="BJ452" s="154"/>
      <c r="BK452" s="154"/>
      <c r="BL452" s="154"/>
      <c r="BM452" s="154"/>
    </row>
    <row r="453">
      <c r="A453" s="154"/>
      <c r="B453" s="154"/>
      <c r="C453" s="305"/>
      <c r="D453" s="305"/>
      <c r="E453" s="305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  <c r="BI453" s="154"/>
      <c r="BJ453" s="154"/>
      <c r="BK453" s="154"/>
      <c r="BL453" s="154"/>
      <c r="BM453" s="154"/>
    </row>
    <row r="454">
      <c r="A454" s="154"/>
      <c r="B454" s="154"/>
      <c r="C454" s="305"/>
      <c r="D454" s="305"/>
      <c r="E454" s="305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  <c r="BI454" s="154"/>
      <c r="BJ454" s="154"/>
      <c r="BK454" s="154"/>
      <c r="BL454" s="154"/>
      <c r="BM454" s="154"/>
    </row>
    <row r="455">
      <c r="A455" s="154"/>
      <c r="B455" s="154"/>
      <c r="C455" s="305"/>
      <c r="D455" s="305"/>
      <c r="E455" s="305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  <c r="BI455" s="154"/>
      <c r="BJ455" s="154"/>
      <c r="BK455" s="154"/>
      <c r="BL455" s="154"/>
      <c r="BM455" s="154"/>
    </row>
    <row r="456">
      <c r="A456" s="154"/>
      <c r="B456" s="154"/>
      <c r="C456" s="305"/>
      <c r="D456" s="305"/>
      <c r="E456" s="305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  <c r="BI456" s="154"/>
      <c r="BJ456" s="154"/>
      <c r="BK456" s="154"/>
      <c r="BL456" s="154"/>
      <c r="BM456" s="154"/>
    </row>
    <row r="457">
      <c r="A457" s="154"/>
      <c r="B457" s="154"/>
      <c r="C457" s="305"/>
      <c r="D457" s="305"/>
      <c r="E457" s="305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  <c r="BI457" s="154"/>
      <c r="BJ457" s="154"/>
      <c r="BK457" s="154"/>
      <c r="BL457" s="154"/>
      <c r="BM457" s="154"/>
    </row>
    <row r="458">
      <c r="A458" s="154"/>
      <c r="B458" s="154"/>
      <c r="C458" s="305"/>
      <c r="D458" s="305"/>
      <c r="E458" s="305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  <c r="BI458" s="154"/>
      <c r="BJ458" s="154"/>
      <c r="BK458" s="154"/>
      <c r="BL458" s="154"/>
      <c r="BM458" s="154"/>
    </row>
    <row r="459">
      <c r="A459" s="154"/>
      <c r="B459" s="154"/>
      <c r="C459" s="305"/>
      <c r="D459" s="305"/>
      <c r="E459" s="305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  <c r="BI459" s="154"/>
      <c r="BJ459" s="154"/>
      <c r="BK459" s="154"/>
      <c r="BL459" s="154"/>
      <c r="BM459" s="154"/>
    </row>
    <row r="460">
      <c r="A460" s="154"/>
      <c r="B460" s="154"/>
      <c r="C460" s="305"/>
      <c r="D460" s="305"/>
      <c r="E460" s="305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  <c r="BI460" s="154"/>
      <c r="BJ460" s="154"/>
      <c r="BK460" s="154"/>
      <c r="BL460" s="154"/>
      <c r="BM460" s="154"/>
    </row>
    <row r="461">
      <c r="A461" s="154"/>
      <c r="B461" s="154"/>
      <c r="C461" s="305"/>
      <c r="D461" s="305"/>
      <c r="E461" s="305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  <c r="BI461" s="154"/>
      <c r="BJ461" s="154"/>
      <c r="BK461" s="154"/>
      <c r="BL461" s="154"/>
      <c r="BM461" s="154"/>
    </row>
    <row r="462">
      <c r="A462" s="154"/>
      <c r="B462" s="154"/>
      <c r="C462" s="305"/>
      <c r="D462" s="305"/>
      <c r="E462" s="305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  <c r="BI462" s="154"/>
      <c r="BJ462" s="154"/>
      <c r="BK462" s="154"/>
      <c r="BL462" s="154"/>
      <c r="BM462" s="154"/>
    </row>
    <row r="463">
      <c r="A463" s="154"/>
      <c r="B463" s="154"/>
      <c r="C463" s="305"/>
      <c r="D463" s="305"/>
      <c r="E463" s="305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  <c r="BI463" s="154"/>
      <c r="BJ463" s="154"/>
      <c r="BK463" s="154"/>
      <c r="BL463" s="154"/>
      <c r="BM463" s="154"/>
    </row>
    <row r="464">
      <c r="A464" s="154"/>
      <c r="B464" s="154"/>
      <c r="C464" s="305"/>
      <c r="D464" s="305"/>
      <c r="E464" s="305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  <c r="BI464" s="154"/>
      <c r="BJ464" s="154"/>
      <c r="BK464" s="154"/>
      <c r="BL464" s="154"/>
      <c r="BM464" s="154"/>
    </row>
    <row r="465">
      <c r="A465" s="154"/>
      <c r="B465" s="154"/>
      <c r="C465" s="305"/>
      <c r="D465" s="305"/>
      <c r="E465" s="305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  <c r="BI465" s="154"/>
      <c r="BJ465" s="154"/>
      <c r="BK465" s="154"/>
      <c r="BL465" s="154"/>
      <c r="BM465" s="154"/>
    </row>
    <row r="466">
      <c r="A466" s="154"/>
      <c r="B466" s="154"/>
      <c r="C466" s="305"/>
      <c r="D466" s="305"/>
      <c r="E466" s="305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  <c r="BI466" s="154"/>
      <c r="BJ466" s="154"/>
      <c r="BK466" s="154"/>
      <c r="BL466" s="154"/>
      <c r="BM466" s="154"/>
    </row>
    <row r="467">
      <c r="A467" s="154"/>
      <c r="B467" s="154"/>
      <c r="C467" s="305"/>
      <c r="D467" s="305"/>
      <c r="E467" s="305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  <c r="BI467" s="154"/>
      <c r="BJ467" s="154"/>
      <c r="BK467" s="154"/>
      <c r="BL467" s="154"/>
      <c r="BM467" s="154"/>
    </row>
    <row r="468">
      <c r="A468" s="154"/>
      <c r="B468" s="154"/>
      <c r="C468" s="305"/>
      <c r="D468" s="305"/>
      <c r="E468" s="305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  <c r="BI468" s="154"/>
      <c r="BJ468" s="154"/>
      <c r="BK468" s="154"/>
      <c r="BL468" s="154"/>
      <c r="BM468" s="154"/>
    </row>
    <row r="469">
      <c r="A469" s="154"/>
      <c r="B469" s="154"/>
      <c r="C469" s="305"/>
      <c r="D469" s="305"/>
      <c r="E469" s="305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  <c r="BI469" s="154"/>
      <c r="BJ469" s="154"/>
      <c r="BK469" s="154"/>
      <c r="BL469" s="154"/>
      <c r="BM469" s="154"/>
    </row>
    <row r="470">
      <c r="A470" s="154"/>
      <c r="B470" s="154"/>
      <c r="C470" s="305"/>
      <c r="D470" s="305"/>
      <c r="E470" s="305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  <c r="BI470" s="154"/>
      <c r="BJ470" s="154"/>
      <c r="BK470" s="154"/>
      <c r="BL470" s="154"/>
      <c r="BM470" s="154"/>
    </row>
    <row r="471">
      <c r="A471" s="154"/>
      <c r="B471" s="154"/>
      <c r="C471" s="305"/>
      <c r="D471" s="305"/>
      <c r="E471" s="305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  <c r="BI471" s="154"/>
      <c r="BJ471" s="154"/>
      <c r="BK471" s="154"/>
      <c r="BL471" s="154"/>
      <c r="BM471" s="154"/>
    </row>
    <row r="472">
      <c r="A472" s="154"/>
      <c r="B472" s="154"/>
      <c r="C472" s="305"/>
      <c r="D472" s="305"/>
      <c r="E472" s="305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  <c r="BI472" s="154"/>
      <c r="BJ472" s="154"/>
      <c r="BK472" s="154"/>
      <c r="BL472" s="154"/>
      <c r="BM472" s="154"/>
    </row>
    <row r="473">
      <c r="A473" s="154"/>
      <c r="B473" s="154"/>
      <c r="C473" s="305"/>
      <c r="D473" s="305"/>
      <c r="E473" s="305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  <c r="BI473" s="154"/>
      <c r="BJ473" s="154"/>
      <c r="BK473" s="154"/>
      <c r="BL473" s="154"/>
      <c r="BM473" s="154"/>
    </row>
    <row r="474">
      <c r="A474" s="154"/>
      <c r="B474" s="154"/>
      <c r="C474" s="305"/>
      <c r="D474" s="305"/>
      <c r="E474" s="305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  <c r="BI474" s="154"/>
      <c r="BJ474" s="154"/>
      <c r="BK474" s="154"/>
      <c r="BL474" s="154"/>
      <c r="BM474" s="154"/>
    </row>
    <row r="475">
      <c r="A475" s="154"/>
      <c r="B475" s="154"/>
      <c r="C475" s="305"/>
      <c r="D475" s="305"/>
      <c r="E475" s="305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  <c r="BI475" s="154"/>
      <c r="BJ475" s="154"/>
      <c r="BK475" s="154"/>
      <c r="BL475" s="154"/>
      <c r="BM475" s="154"/>
    </row>
    <row r="476">
      <c r="A476" s="154"/>
      <c r="B476" s="154"/>
      <c r="C476" s="305"/>
      <c r="D476" s="305"/>
      <c r="E476" s="305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  <c r="BI476" s="154"/>
      <c r="BJ476" s="154"/>
      <c r="BK476" s="154"/>
      <c r="BL476" s="154"/>
      <c r="BM476" s="154"/>
    </row>
    <row r="477">
      <c r="A477" s="154"/>
      <c r="B477" s="154"/>
      <c r="C477" s="305"/>
      <c r="D477" s="305"/>
      <c r="E477" s="305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  <c r="BI477" s="154"/>
      <c r="BJ477" s="154"/>
      <c r="BK477" s="154"/>
      <c r="BL477" s="154"/>
      <c r="BM477" s="154"/>
    </row>
    <row r="478">
      <c r="A478" s="154"/>
      <c r="B478" s="154"/>
      <c r="C478" s="305"/>
      <c r="D478" s="305"/>
      <c r="E478" s="305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  <c r="BI478" s="154"/>
      <c r="BJ478" s="154"/>
      <c r="BK478" s="154"/>
      <c r="BL478" s="154"/>
      <c r="BM478" s="154"/>
    </row>
    <row r="479">
      <c r="A479" s="154"/>
      <c r="B479" s="154"/>
      <c r="C479" s="305"/>
      <c r="D479" s="305"/>
      <c r="E479" s="305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  <c r="BI479" s="154"/>
      <c r="BJ479" s="154"/>
      <c r="BK479" s="154"/>
      <c r="BL479" s="154"/>
      <c r="BM479" s="154"/>
    </row>
    <row r="480">
      <c r="A480" s="154"/>
      <c r="B480" s="154"/>
      <c r="C480" s="305"/>
      <c r="D480" s="305"/>
      <c r="E480" s="305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  <c r="BI480" s="154"/>
      <c r="BJ480" s="154"/>
      <c r="BK480" s="154"/>
      <c r="BL480" s="154"/>
      <c r="BM480" s="154"/>
    </row>
    <row r="481">
      <c r="A481" s="154"/>
      <c r="B481" s="154"/>
      <c r="C481" s="305"/>
      <c r="D481" s="305"/>
      <c r="E481" s="305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  <c r="BI481" s="154"/>
      <c r="BJ481" s="154"/>
      <c r="BK481" s="154"/>
      <c r="BL481" s="154"/>
      <c r="BM481" s="154"/>
    </row>
    <row r="482">
      <c r="A482" s="154"/>
      <c r="B482" s="154"/>
      <c r="C482" s="305"/>
      <c r="D482" s="305"/>
      <c r="E482" s="305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  <c r="BI482" s="154"/>
      <c r="BJ482" s="154"/>
      <c r="BK482" s="154"/>
      <c r="BL482" s="154"/>
      <c r="BM482" s="154"/>
    </row>
    <row r="483">
      <c r="A483" s="154"/>
      <c r="B483" s="154"/>
      <c r="C483" s="305"/>
      <c r="D483" s="305"/>
      <c r="E483" s="305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  <c r="BI483" s="154"/>
      <c r="BJ483" s="154"/>
      <c r="BK483" s="154"/>
      <c r="BL483" s="154"/>
      <c r="BM483" s="154"/>
    </row>
    <row r="484">
      <c r="A484" s="154"/>
      <c r="B484" s="154"/>
      <c r="C484" s="305"/>
      <c r="D484" s="305"/>
      <c r="E484" s="305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  <c r="BI484" s="154"/>
      <c r="BJ484" s="154"/>
      <c r="BK484" s="154"/>
      <c r="BL484" s="154"/>
      <c r="BM484" s="154"/>
    </row>
    <row r="485">
      <c r="A485" s="154"/>
      <c r="B485" s="154"/>
      <c r="C485" s="305"/>
      <c r="D485" s="305"/>
      <c r="E485" s="305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  <c r="BI485" s="154"/>
      <c r="BJ485" s="154"/>
      <c r="BK485" s="154"/>
      <c r="BL485" s="154"/>
      <c r="BM485" s="154"/>
    </row>
    <row r="486">
      <c r="A486" s="154"/>
      <c r="B486" s="154"/>
      <c r="C486" s="305"/>
      <c r="D486" s="305"/>
      <c r="E486" s="305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  <c r="BI486" s="154"/>
      <c r="BJ486" s="154"/>
      <c r="BK486" s="154"/>
      <c r="BL486" s="154"/>
      <c r="BM486" s="154"/>
    </row>
    <row r="487">
      <c r="A487" s="154"/>
      <c r="B487" s="154"/>
      <c r="C487" s="305"/>
      <c r="D487" s="305"/>
      <c r="E487" s="305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  <c r="BI487" s="154"/>
      <c r="BJ487" s="154"/>
      <c r="BK487" s="154"/>
      <c r="BL487" s="154"/>
      <c r="BM487" s="154"/>
    </row>
    <row r="488">
      <c r="A488" s="154"/>
      <c r="B488" s="154"/>
      <c r="C488" s="305"/>
      <c r="D488" s="305"/>
      <c r="E488" s="305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  <c r="BI488" s="154"/>
      <c r="BJ488" s="154"/>
      <c r="BK488" s="154"/>
      <c r="BL488" s="154"/>
      <c r="BM488" s="154"/>
    </row>
    <row r="489">
      <c r="A489" s="154"/>
      <c r="B489" s="154"/>
      <c r="C489" s="305"/>
      <c r="D489" s="305"/>
      <c r="E489" s="305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  <c r="BI489" s="154"/>
      <c r="BJ489" s="154"/>
      <c r="BK489" s="154"/>
      <c r="BL489" s="154"/>
      <c r="BM489" s="154"/>
    </row>
    <row r="490">
      <c r="A490" s="154"/>
      <c r="B490" s="154"/>
      <c r="C490" s="305"/>
      <c r="D490" s="305"/>
      <c r="E490" s="305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  <c r="BI490" s="154"/>
      <c r="BJ490" s="154"/>
      <c r="BK490" s="154"/>
      <c r="BL490" s="154"/>
      <c r="BM490" s="154"/>
    </row>
    <row r="491">
      <c r="A491" s="154"/>
      <c r="B491" s="154"/>
      <c r="C491" s="305"/>
      <c r="D491" s="305"/>
      <c r="E491" s="305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  <c r="BI491" s="154"/>
      <c r="BJ491" s="154"/>
      <c r="BK491" s="154"/>
      <c r="BL491" s="154"/>
      <c r="BM491" s="154"/>
    </row>
    <row r="492">
      <c r="A492" s="154"/>
      <c r="B492" s="154"/>
      <c r="C492" s="305"/>
      <c r="D492" s="305"/>
      <c r="E492" s="305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  <c r="BI492" s="154"/>
      <c r="BJ492" s="154"/>
      <c r="BK492" s="154"/>
      <c r="BL492" s="154"/>
      <c r="BM492" s="154"/>
    </row>
    <row r="493">
      <c r="A493" s="154"/>
      <c r="B493" s="154"/>
      <c r="C493" s="305"/>
      <c r="D493" s="305"/>
      <c r="E493" s="305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  <c r="BI493" s="154"/>
      <c r="BJ493" s="154"/>
      <c r="BK493" s="154"/>
      <c r="BL493" s="154"/>
      <c r="BM493" s="154"/>
    </row>
    <row r="494">
      <c r="A494" s="154"/>
      <c r="B494" s="154"/>
      <c r="C494" s="305"/>
      <c r="D494" s="305"/>
      <c r="E494" s="305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  <c r="BI494" s="154"/>
      <c r="BJ494" s="154"/>
      <c r="BK494" s="154"/>
      <c r="BL494" s="154"/>
      <c r="BM494" s="154"/>
    </row>
    <row r="495">
      <c r="A495" s="154"/>
      <c r="B495" s="154"/>
      <c r="C495" s="305"/>
      <c r="D495" s="305"/>
      <c r="E495" s="305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  <c r="BI495" s="154"/>
      <c r="BJ495" s="154"/>
      <c r="BK495" s="154"/>
      <c r="BL495" s="154"/>
      <c r="BM495" s="154"/>
    </row>
    <row r="496">
      <c r="A496" s="154"/>
      <c r="B496" s="154"/>
      <c r="C496" s="305"/>
      <c r="D496" s="305"/>
      <c r="E496" s="305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  <c r="BI496" s="154"/>
      <c r="BJ496" s="154"/>
      <c r="BK496" s="154"/>
      <c r="BL496" s="154"/>
      <c r="BM496" s="154"/>
    </row>
    <row r="497">
      <c r="A497" s="154"/>
      <c r="B497" s="154"/>
      <c r="C497" s="305"/>
      <c r="D497" s="305"/>
      <c r="E497" s="305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  <c r="BI497" s="154"/>
      <c r="BJ497" s="154"/>
      <c r="BK497" s="154"/>
      <c r="BL497" s="154"/>
      <c r="BM497" s="154"/>
    </row>
    <row r="498">
      <c r="A498" s="154"/>
      <c r="B498" s="154"/>
      <c r="C498" s="305"/>
      <c r="D498" s="305"/>
      <c r="E498" s="305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  <c r="BI498" s="154"/>
      <c r="BJ498" s="154"/>
      <c r="BK498" s="154"/>
      <c r="BL498" s="154"/>
      <c r="BM498" s="154"/>
    </row>
    <row r="499">
      <c r="A499" s="154"/>
      <c r="B499" s="154"/>
      <c r="C499" s="305"/>
      <c r="D499" s="305"/>
      <c r="E499" s="305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  <c r="BI499" s="154"/>
      <c r="BJ499" s="154"/>
      <c r="BK499" s="154"/>
      <c r="BL499" s="154"/>
      <c r="BM499" s="154"/>
    </row>
    <row r="500">
      <c r="A500" s="154"/>
      <c r="B500" s="154"/>
      <c r="C500" s="305"/>
      <c r="D500" s="305"/>
      <c r="E500" s="305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  <c r="BI500" s="154"/>
      <c r="BJ500" s="154"/>
      <c r="BK500" s="154"/>
      <c r="BL500" s="154"/>
      <c r="BM500" s="154"/>
    </row>
    <row r="501">
      <c r="A501" s="154"/>
      <c r="B501" s="154"/>
      <c r="C501" s="305"/>
      <c r="D501" s="305"/>
      <c r="E501" s="305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  <c r="BI501" s="154"/>
      <c r="BJ501" s="154"/>
      <c r="BK501" s="154"/>
      <c r="BL501" s="154"/>
      <c r="BM501" s="154"/>
    </row>
    <row r="502">
      <c r="A502" s="154"/>
      <c r="B502" s="154"/>
      <c r="C502" s="305"/>
      <c r="D502" s="305"/>
      <c r="E502" s="305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  <c r="BI502" s="154"/>
      <c r="BJ502" s="154"/>
      <c r="BK502" s="154"/>
      <c r="BL502" s="154"/>
      <c r="BM502" s="154"/>
    </row>
    <row r="503">
      <c r="A503" s="154"/>
      <c r="B503" s="154"/>
      <c r="C503" s="305"/>
      <c r="D503" s="305"/>
      <c r="E503" s="305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  <c r="BI503" s="154"/>
      <c r="BJ503" s="154"/>
      <c r="BK503" s="154"/>
      <c r="BL503" s="154"/>
      <c r="BM503" s="154"/>
    </row>
    <row r="504">
      <c r="A504" s="154"/>
      <c r="B504" s="154"/>
      <c r="C504" s="305"/>
      <c r="D504" s="305"/>
      <c r="E504" s="305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  <c r="BI504" s="154"/>
      <c r="BJ504" s="154"/>
      <c r="BK504" s="154"/>
      <c r="BL504" s="154"/>
      <c r="BM504" s="154"/>
    </row>
    <row r="505">
      <c r="A505" s="154"/>
      <c r="B505" s="154"/>
      <c r="C505" s="305"/>
      <c r="D505" s="305"/>
      <c r="E505" s="305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  <c r="BI505" s="154"/>
      <c r="BJ505" s="154"/>
      <c r="BK505" s="154"/>
      <c r="BL505" s="154"/>
      <c r="BM505" s="154"/>
    </row>
    <row r="506">
      <c r="A506" s="154"/>
      <c r="B506" s="154"/>
      <c r="C506" s="305"/>
      <c r="D506" s="305"/>
      <c r="E506" s="305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  <c r="BI506" s="154"/>
      <c r="BJ506" s="154"/>
      <c r="BK506" s="154"/>
      <c r="BL506" s="154"/>
      <c r="BM506" s="154"/>
    </row>
    <row r="507">
      <c r="A507" s="154"/>
      <c r="B507" s="154"/>
      <c r="C507" s="305"/>
      <c r="D507" s="305"/>
      <c r="E507" s="305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  <c r="BI507" s="154"/>
      <c r="BJ507" s="154"/>
      <c r="BK507" s="154"/>
      <c r="BL507" s="154"/>
      <c r="BM507" s="154"/>
    </row>
    <row r="508">
      <c r="A508" s="154"/>
      <c r="B508" s="154"/>
      <c r="C508" s="305"/>
      <c r="D508" s="305"/>
      <c r="E508" s="305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  <c r="BI508" s="154"/>
      <c r="BJ508" s="154"/>
      <c r="BK508" s="154"/>
      <c r="BL508" s="154"/>
      <c r="BM508" s="154"/>
    </row>
    <row r="509">
      <c r="A509" s="154"/>
      <c r="B509" s="154"/>
      <c r="C509" s="305"/>
      <c r="D509" s="305"/>
      <c r="E509" s="305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  <c r="BI509" s="154"/>
      <c r="BJ509" s="154"/>
      <c r="BK509" s="154"/>
      <c r="BL509" s="154"/>
      <c r="BM509" s="154"/>
    </row>
    <row r="510">
      <c r="A510" s="154"/>
      <c r="B510" s="154"/>
      <c r="C510" s="305"/>
      <c r="D510" s="305"/>
      <c r="E510" s="305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  <c r="BI510" s="154"/>
      <c r="BJ510" s="154"/>
      <c r="BK510" s="154"/>
      <c r="BL510" s="154"/>
      <c r="BM510" s="154"/>
    </row>
    <row r="511">
      <c r="A511" s="154"/>
      <c r="B511" s="154"/>
      <c r="C511" s="305"/>
      <c r="D511" s="305"/>
      <c r="E511" s="305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  <c r="BI511" s="154"/>
      <c r="BJ511" s="154"/>
      <c r="BK511" s="154"/>
      <c r="BL511" s="154"/>
      <c r="BM511" s="154"/>
    </row>
    <row r="512">
      <c r="A512" s="154"/>
      <c r="B512" s="154"/>
      <c r="C512" s="305"/>
      <c r="D512" s="305"/>
      <c r="E512" s="305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  <c r="BI512" s="154"/>
      <c r="BJ512" s="154"/>
      <c r="BK512" s="154"/>
      <c r="BL512" s="154"/>
      <c r="BM512" s="154"/>
    </row>
    <row r="513">
      <c r="A513" s="154"/>
      <c r="B513" s="154"/>
      <c r="C513" s="305"/>
      <c r="D513" s="305"/>
      <c r="E513" s="305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  <c r="BI513" s="154"/>
      <c r="BJ513" s="154"/>
      <c r="BK513" s="154"/>
      <c r="BL513" s="154"/>
      <c r="BM513" s="154"/>
    </row>
    <row r="514">
      <c r="A514" s="154"/>
      <c r="B514" s="154"/>
      <c r="C514" s="305"/>
      <c r="D514" s="305"/>
      <c r="E514" s="305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  <c r="BI514" s="154"/>
      <c r="BJ514" s="154"/>
      <c r="BK514" s="154"/>
      <c r="BL514" s="154"/>
      <c r="BM514" s="154"/>
    </row>
    <row r="515">
      <c r="A515" s="154"/>
      <c r="B515" s="154"/>
      <c r="C515" s="305"/>
      <c r="D515" s="305"/>
      <c r="E515" s="305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  <c r="BI515" s="154"/>
      <c r="BJ515" s="154"/>
      <c r="BK515" s="154"/>
      <c r="BL515" s="154"/>
      <c r="BM515" s="154"/>
    </row>
    <row r="516">
      <c r="A516" s="154"/>
      <c r="B516" s="154"/>
      <c r="C516" s="305"/>
      <c r="D516" s="305"/>
      <c r="E516" s="305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  <c r="BI516" s="154"/>
      <c r="BJ516" s="154"/>
      <c r="BK516" s="154"/>
      <c r="BL516" s="154"/>
      <c r="BM516" s="154"/>
    </row>
    <row r="517">
      <c r="A517" s="154"/>
      <c r="B517" s="154"/>
      <c r="C517" s="305"/>
      <c r="D517" s="305"/>
      <c r="E517" s="305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  <c r="BI517" s="154"/>
      <c r="BJ517" s="154"/>
      <c r="BK517" s="154"/>
      <c r="BL517" s="154"/>
      <c r="BM517" s="154"/>
    </row>
    <row r="518">
      <c r="A518" s="154"/>
      <c r="B518" s="154"/>
      <c r="C518" s="305"/>
      <c r="D518" s="305"/>
      <c r="E518" s="305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  <c r="BI518" s="154"/>
      <c r="BJ518" s="154"/>
      <c r="BK518" s="154"/>
      <c r="BL518" s="154"/>
      <c r="BM518" s="154"/>
    </row>
    <row r="519">
      <c r="A519" s="154"/>
      <c r="B519" s="154"/>
      <c r="C519" s="305"/>
      <c r="D519" s="305"/>
      <c r="E519" s="305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  <c r="BI519" s="154"/>
      <c r="BJ519" s="154"/>
      <c r="BK519" s="154"/>
      <c r="BL519" s="154"/>
      <c r="BM519" s="154"/>
    </row>
    <row r="520">
      <c r="A520" s="154"/>
      <c r="B520" s="154"/>
      <c r="C520" s="305"/>
      <c r="D520" s="305"/>
      <c r="E520" s="305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  <c r="BI520" s="154"/>
      <c r="BJ520" s="154"/>
      <c r="BK520" s="154"/>
      <c r="BL520" s="154"/>
      <c r="BM520" s="154"/>
    </row>
    <row r="521">
      <c r="A521" s="154"/>
      <c r="B521" s="154"/>
      <c r="C521" s="305"/>
      <c r="D521" s="305"/>
      <c r="E521" s="305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  <c r="BI521" s="154"/>
      <c r="BJ521" s="154"/>
      <c r="BK521" s="154"/>
      <c r="BL521" s="154"/>
      <c r="BM521" s="154"/>
    </row>
    <row r="522">
      <c r="A522" s="154"/>
      <c r="B522" s="154"/>
      <c r="C522" s="305"/>
      <c r="D522" s="305"/>
      <c r="E522" s="305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  <c r="BI522" s="154"/>
      <c r="BJ522" s="154"/>
      <c r="BK522" s="154"/>
      <c r="BL522" s="154"/>
      <c r="BM522" s="154"/>
    </row>
    <row r="523">
      <c r="A523" s="154"/>
      <c r="B523" s="154"/>
      <c r="C523" s="305"/>
      <c r="D523" s="305"/>
      <c r="E523" s="305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  <c r="BI523" s="154"/>
      <c r="BJ523" s="154"/>
      <c r="BK523" s="154"/>
      <c r="BL523" s="154"/>
      <c r="BM523" s="154"/>
    </row>
    <row r="524">
      <c r="A524" s="154"/>
      <c r="B524" s="154"/>
      <c r="C524" s="305"/>
      <c r="D524" s="305"/>
      <c r="E524" s="305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  <c r="BI524" s="154"/>
      <c r="BJ524" s="154"/>
      <c r="BK524" s="154"/>
      <c r="BL524" s="154"/>
      <c r="BM524" s="154"/>
    </row>
    <row r="525">
      <c r="A525" s="154"/>
      <c r="B525" s="154"/>
      <c r="C525" s="305"/>
      <c r="D525" s="305"/>
      <c r="E525" s="305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  <c r="BI525" s="154"/>
      <c r="BJ525" s="154"/>
      <c r="BK525" s="154"/>
      <c r="BL525" s="154"/>
      <c r="BM525" s="154"/>
    </row>
    <row r="526">
      <c r="A526" s="154"/>
      <c r="B526" s="154"/>
      <c r="C526" s="305"/>
      <c r="D526" s="305"/>
      <c r="E526" s="305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  <c r="BI526" s="154"/>
      <c r="BJ526" s="154"/>
      <c r="BK526" s="154"/>
      <c r="BL526" s="154"/>
      <c r="BM526" s="154"/>
    </row>
    <row r="527">
      <c r="A527" s="154"/>
      <c r="B527" s="154"/>
      <c r="C527" s="305"/>
      <c r="D527" s="305"/>
      <c r="E527" s="305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  <c r="BI527" s="154"/>
      <c r="BJ527" s="154"/>
      <c r="BK527" s="154"/>
      <c r="BL527" s="154"/>
      <c r="BM527" s="154"/>
    </row>
    <row r="528">
      <c r="A528" s="154"/>
      <c r="B528" s="154"/>
      <c r="C528" s="305"/>
      <c r="D528" s="305"/>
      <c r="E528" s="305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  <c r="BI528" s="154"/>
      <c r="BJ528" s="154"/>
      <c r="BK528" s="154"/>
      <c r="BL528" s="154"/>
      <c r="BM528" s="154"/>
    </row>
    <row r="529">
      <c r="A529" s="154"/>
      <c r="B529" s="154"/>
      <c r="C529" s="305"/>
      <c r="D529" s="305"/>
      <c r="E529" s="305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  <c r="BI529" s="154"/>
      <c r="BJ529" s="154"/>
      <c r="BK529" s="154"/>
      <c r="BL529" s="154"/>
      <c r="BM529" s="154"/>
    </row>
    <row r="530">
      <c r="A530" s="154"/>
      <c r="B530" s="154"/>
      <c r="C530" s="305"/>
      <c r="D530" s="305"/>
      <c r="E530" s="305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  <c r="BI530" s="154"/>
      <c r="BJ530" s="154"/>
      <c r="BK530" s="154"/>
      <c r="BL530" s="154"/>
      <c r="BM530" s="154"/>
    </row>
    <row r="531">
      <c r="A531" s="154"/>
      <c r="B531" s="154"/>
      <c r="C531" s="305"/>
      <c r="D531" s="305"/>
      <c r="E531" s="305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  <c r="BI531" s="154"/>
      <c r="BJ531" s="154"/>
      <c r="BK531" s="154"/>
      <c r="BL531" s="154"/>
      <c r="BM531" s="154"/>
    </row>
    <row r="532">
      <c r="A532" s="154"/>
      <c r="B532" s="154"/>
      <c r="C532" s="305"/>
      <c r="D532" s="305"/>
      <c r="E532" s="305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  <c r="BI532" s="154"/>
      <c r="BJ532" s="154"/>
      <c r="BK532" s="154"/>
      <c r="BL532" s="154"/>
      <c r="BM532" s="154"/>
    </row>
    <row r="533">
      <c r="A533" s="154"/>
      <c r="B533" s="154"/>
      <c r="C533" s="305"/>
      <c r="D533" s="305"/>
      <c r="E533" s="305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  <c r="BI533" s="154"/>
      <c r="BJ533" s="154"/>
      <c r="BK533" s="154"/>
      <c r="BL533" s="154"/>
      <c r="BM533" s="154"/>
    </row>
    <row r="534">
      <c r="A534" s="154"/>
      <c r="B534" s="154"/>
      <c r="C534" s="305"/>
      <c r="D534" s="305"/>
      <c r="E534" s="305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  <c r="BI534" s="154"/>
      <c r="BJ534" s="154"/>
      <c r="BK534" s="154"/>
      <c r="BL534" s="154"/>
      <c r="BM534" s="154"/>
    </row>
    <row r="535">
      <c r="A535" s="154"/>
      <c r="B535" s="154"/>
      <c r="C535" s="305"/>
      <c r="D535" s="305"/>
      <c r="E535" s="305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  <c r="BI535" s="154"/>
      <c r="BJ535" s="154"/>
      <c r="BK535" s="154"/>
      <c r="BL535" s="154"/>
      <c r="BM535" s="154"/>
    </row>
    <row r="536">
      <c r="A536" s="154"/>
      <c r="B536" s="154"/>
      <c r="C536" s="305"/>
      <c r="D536" s="305"/>
      <c r="E536" s="305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  <c r="BI536" s="154"/>
      <c r="BJ536" s="154"/>
      <c r="BK536" s="154"/>
      <c r="BL536" s="154"/>
      <c r="BM536" s="154"/>
    </row>
    <row r="537">
      <c r="A537" s="154"/>
      <c r="B537" s="154"/>
      <c r="C537" s="305"/>
      <c r="D537" s="305"/>
      <c r="E537" s="305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  <c r="BI537" s="154"/>
      <c r="BJ537" s="154"/>
      <c r="BK537" s="154"/>
      <c r="BL537" s="154"/>
      <c r="BM537" s="154"/>
    </row>
    <row r="538">
      <c r="A538" s="154"/>
      <c r="B538" s="154"/>
      <c r="C538" s="305"/>
      <c r="D538" s="305"/>
      <c r="E538" s="305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  <c r="BI538" s="154"/>
      <c r="BJ538" s="154"/>
      <c r="BK538" s="154"/>
      <c r="BL538" s="154"/>
      <c r="BM538" s="154"/>
    </row>
    <row r="539">
      <c r="A539" s="154"/>
      <c r="B539" s="154"/>
      <c r="C539" s="305"/>
      <c r="D539" s="305"/>
      <c r="E539" s="305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  <c r="BI539" s="154"/>
      <c r="BJ539" s="154"/>
      <c r="BK539" s="154"/>
      <c r="BL539" s="154"/>
      <c r="BM539" s="154"/>
    </row>
    <row r="540">
      <c r="A540" s="154"/>
      <c r="B540" s="154"/>
      <c r="C540" s="305"/>
      <c r="D540" s="305"/>
      <c r="E540" s="305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  <c r="BI540" s="154"/>
      <c r="BJ540" s="154"/>
      <c r="BK540" s="154"/>
      <c r="BL540" s="154"/>
      <c r="BM540" s="154"/>
    </row>
    <row r="541">
      <c r="A541" s="154"/>
      <c r="B541" s="154"/>
      <c r="C541" s="305"/>
      <c r="D541" s="305"/>
      <c r="E541" s="305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  <c r="BI541" s="154"/>
      <c r="BJ541" s="154"/>
      <c r="BK541" s="154"/>
      <c r="BL541" s="154"/>
      <c r="BM541" s="154"/>
    </row>
    <row r="542">
      <c r="A542" s="154"/>
      <c r="B542" s="154"/>
      <c r="C542" s="305"/>
      <c r="D542" s="305"/>
      <c r="E542" s="305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  <c r="BI542" s="154"/>
      <c r="BJ542" s="154"/>
      <c r="BK542" s="154"/>
      <c r="BL542" s="154"/>
      <c r="BM542" s="154"/>
    </row>
    <row r="543">
      <c r="A543" s="154"/>
      <c r="B543" s="154"/>
      <c r="C543" s="305"/>
      <c r="D543" s="305"/>
      <c r="E543" s="305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  <c r="BI543" s="154"/>
      <c r="BJ543" s="154"/>
      <c r="BK543" s="154"/>
      <c r="BL543" s="154"/>
      <c r="BM543" s="154"/>
    </row>
    <row r="544">
      <c r="A544" s="154"/>
      <c r="B544" s="154"/>
      <c r="C544" s="305"/>
      <c r="D544" s="305"/>
      <c r="E544" s="305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  <c r="BI544" s="154"/>
      <c r="BJ544" s="154"/>
      <c r="BK544" s="154"/>
      <c r="BL544" s="154"/>
      <c r="BM544" s="154"/>
    </row>
    <row r="545">
      <c r="A545" s="154"/>
      <c r="B545" s="154"/>
      <c r="C545" s="305"/>
      <c r="D545" s="305"/>
      <c r="E545" s="305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  <c r="BI545" s="154"/>
      <c r="BJ545" s="154"/>
      <c r="BK545" s="154"/>
      <c r="BL545" s="154"/>
      <c r="BM545" s="154"/>
    </row>
    <row r="546">
      <c r="A546" s="154"/>
      <c r="B546" s="154"/>
      <c r="C546" s="305"/>
      <c r="D546" s="305"/>
      <c r="E546" s="305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  <c r="BI546" s="154"/>
      <c r="BJ546" s="154"/>
      <c r="BK546" s="154"/>
      <c r="BL546" s="154"/>
      <c r="BM546" s="154"/>
    </row>
    <row r="547">
      <c r="A547" s="154"/>
      <c r="B547" s="154"/>
      <c r="C547" s="305"/>
      <c r="D547" s="305"/>
      <c r="E547" s="305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  <c r="BI547" s="154"/>
      <c r="BJ547" s="154"/>
      <c r="BK547" s="154"/>
      <c r="BL547" s="154"/>
      <c r="BM547" s="154"/>
    </row>
    <row r="548">
      <c r="A548" s="154"/>
      <c r="B548" s="154"/>
      <c r="C548" s="305"/>
      <c r="D548" s="305"/>
      <c r="E548" s="305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  <c r="BI548" s="154"/>
      <c r="BJ548" s="154"/>
      <c r="BK548" s="154"/>
      <c r="BL548" s="154"/>
      <c r="BM548" s="154"/>
    </row>
    <row r="549">
      <c r="A549" s="154"/>
      <c r="B549" s="154"/>
      <c r="C549" s="305"/>
      <c r="D549" s="305"/>
      <c r="E549" s="305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  <c r="BI549" s="154"/>
      <c r="BJ549" s="154"/>
      <c r="BK549" s="154"/>
      <c r="BL549" s="154"/>
      <c r="BM549" s="154"/>
    </row>
    <row r="550">
      <c r="A550" s="154"/>
      <c r="B550" s="154"/>
      <c r="C550" s="305"/>
      <c r="D550" s="305"/>
      <c r="E550" s="305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  <c r="BI550" s="154"/>
      <c r="BJ550" s="154"/>
      <c r="BK550" s="154"/>
      <c r="BL550" s="154"/>
      <c r="BM550" s="154"/>
    </row>
    <row r="551">
      <c r="A551" s="154"/>
      <c r="B551" s="154"/>
      <c r="C551" s="305"/>
      <c r="D551" s="305"/>
      <c r="E551" s="305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  <c r="BI551" s="154"/>
      <c r="BJ551" s="154"/>
      <c r="BK551" s="154"/>
      <c r="BL551" s="154"/>
      <c r="BM551" s="154"/>
    </row>
    <row r="552">
      <c r="A552" s="154"/>
      <c r="B552" s="154"/>
      <c r="C552" s="305"/>
      <c r="D552" s="305"/>
      <c r="E552" s="305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  <c r="BI552" s="154"/>
      <c r="BJ552" s="154"/>
      <c r="BK552" s="154"/>
      <c r="BL552" s="154"/>
      <c r="BM552" s="154"/>
    </row>
    <row r="553">
      <c r="A553" s="154"/>
      <c r="B553" s="154"/>
      <c r="C553" s="305"/>
      <c r="D553" s="305"/>
      <c r="E553" s="305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  <c r="BI553" s="154"/>
      <c r="BJ553" s="154"/>
      <c r="BK553" s="154"/>
      <c r="BL553" s="154"/>
      <c r="BM553" s="154"/>
    </row>
    <row r="554">
      <c r="A554" s="154"/>
      <c r="B554" s="154"/>
      <c r="C554" s="305"/>
      <c r="D554" s="305"/>
      <c r="E554" s="305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  <c r="BI554" s="154"/>
      <c r="BJ554" s="154"/>
      <c r="BK554" s="154"/>
      <c r="BL554" s="154"/>
      <c r="BM554" s="154"/>
    </row>
    <row r="555">
      <c r="A555" s="154"/>
      <c r="B555" s="154"/>
      <c r="C555" s="305"/>
      <c r="D555" s="305"/>
      <c r="E555" s="305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  <c r="BI555" s="154"/>
      <c r="BJ555" s="154"/>
      <c r="BK555" s="154"/>
      <c r="BL555" s="154"/>
      <c r="BM555" s="154"/>
    </row>
    <row r="556">
      <c r="A556" s="154"/>
      <c r="B556" s="154"/>
      <c r="C556" s="305"/>
      <c r="D556" s="305"/>
      <c r="E556" s="305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  <c r="BI556" s="154"/>
      <c r="BJ556" s="154"/>
      <c r="BK556" s="154"/>
      <c r="BL556" s="154"/>
      <c r="BM556" s="154"/>
    </row>
    <row r="557">
      <c r="A557" s="154"/>
      <c r="B557" s="154"/>
      <c r="C557" s="305"/>
      <c r="D557" s="305"/>
      <c r="E557" s="305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  <c r="BI557" s="154"/>
      <c r="BJ557" s="154"/>
      <c r="BK557" s="154"/>
      <c r="BL557" s="154"/>
      <c r="BM557" s="154"/>
    </row>
    <row r="558">
      <c r="A558" s="154"/>
      <c r="B558" s="154"/>
      <c r="C558" s="305"/>
      <c r="D558" s="305"/>
      <c r="E558" s="305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  <c r="BI558" s="154"/>
      <c r="BJ558" s="154"/>
      <c r="BK558" s="154"/>
      <c r="BL558" s="154"/>
      <c r="BM558" s="154"/>
    </row>
    <row r="559">
      <c r="A559" s="154"/>
      <c r="B559" s="154"/>
      <c r="C559" s="305"/>
      <c r="D559" s="305"/>
      <c r="E559" s="305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  <c r="BI559" s="154"/>
      <c r="BJ559" s="154"/>
      <c r="BK559" s="154"/>
      <c r="BL559" s="154"/>
      <c r="BM559" s="154"/>
    </row>
    <row r="560">
      <c r="A560" s="154"/>
      <c r="B560" s="154"/>
      <c r="C560" s="305"/>
      <c r="D560" s="305"/>
      <c r="E560" s="305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  <c r="BI560" s="154"/>
      <c r="BJ560" s="154"/>
      <c r="BK560" s="154"/>
      <c r="BL560" s="154"/>
      <c r="BM560" s="154"/>
    </row>
    <row r="561">
      <c r="A561" s="154"/>
      <c r="B561" s="154"/>
      <c r="C561" s="305"/>
      <c r="D561" s="305"/>
      <c r="E561" s="305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  <c r="BI561" s="154"/>
      <c r="BJ561" s="154"/>
      <c r="BK561" s="154"/>
      <c r="BL561" s="154"/>
      <c r="BM561" s="154"/>
    </row>
    <row r="562">
      <c r="A562" s="154"/>
      <c r="B562" s="154"/>
      <c r="C562" s="305"/>
      <c r="D562" s="305"/>
      <c r="E562" s="305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  <c r="BI562" s="154"/>
      <c r="BJ562" s="154"/>
      <c r="BK562" s="154"/>
      <c r="BL562" s="154"/>
      <c r="BM562" s="154"/>
    </row>
    <row r="563">
      <c r="A563" s="154"/>
      <c r="B563" s="154"/>
      <c r="C563" s="305"/>
      <c r="D563" s="305"/>
      <c r="E563" s="305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  <c r="BI563" s="154"/>
      <c r="BJ563" s="154"/>
      <c r="BK563" s="154"/>
      <c r="BL563" s="154"/>
      <c r="BM563" s="154"/>
    </row>
    <row r="564">
      <c r="A564" s="154"/>
      <c r="B564" s="154"/>
      <c r="C564" s="305"/>
      <c r="D564" s="305"/>
      <c r="E564" s="305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  <c r="BI564" s="154"/>
      <c r="BJ564" s="154"/>
      <c r="BK564" s="154"/>
      <c r="BL564" s="154"/>
      <c r="BM564" s="154"/>
    </row>
    <row r="565">
      <c r="A565" s="154"/>
      <c r="B565" s="154"/>
      <c r="C565" s="305"/>
      <c r="D565" s="305"/>
      <c r="E565" s="305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  <c r="BI565" s="154"/>
      <c r="BJ565" s="154"/>
      <c r="BK565" s="154"/>
      <c r="BL565" s="154"/>
      <c r="BM565" s="154"/>
    </row>
    <row r="566">
      <c r="A566" s="154"/>
      <c r="B566" s="154"/>
      <c r="C566" s="305"/>
      <c r="D566" s="305"/>
      <c r="E566" s="305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  <c r="BI566" s="154"/>
      <c r="BJ566" s="154"/>
      <c r="BK566" s="154"/>
      <c r="BL566" s="154"/>
      <c r="BM566" s="154"/>
    </row>
    <row r="567">
      <c r="A567" s="154"/>
      <c r="B567" s="154"/>
      <c r="C567" s="305"/>
      <c r="D567" s="305"/>
      <c r="E567" s="305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  <c r="BI567" s="154"/>
      <c r="BJ567" s="154"/>
      <c r="BK567" s="154"/>
      <c r="BL567" s="154"/>
      <c r="BM567" s="154"/>
    </row>
    <row r="568">
      <c r="A568" s="154"/>
      <c r="B568" s="154"/>
      <c r="C568" s="305"/>
      <c r="D568" s="305"/>
      <c r="E568" s="305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  <c r="BI568" s="154"/>
      <c r="BJ568" s="154"/>
      <c r="BK568" s="154"/>
      <c r="BL568" s="154"/>
      <c r="BM568" s="154"/>
    </row>
    <row r="569">
      <c r="A569" s="154"/>
      <c r="B569" s="154"/>
      <c r="C569" s="305"/>
      <c r="D569" s="305"/>
      <c r="E569" s="305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  <c r="BI569" s="154"/>
      <c r="BJ569" s="154"/>
      <c r="BK569" s="154"/>
      <c r="BL569" s="154"/>
      <c r="BM569" s="154"/>
    </row>
    <row r="570">
      <c r="A570" s="154"/>
      <c r="B570" s="154"/>
      <c r="C570" s="305"/>
      <c r="D570" s="305"/>
      <c r="E570" s="305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  <c r="BI570" s="154"/>
      <c r="BJ570" s="154"/>
      <c r="BK570" s="154"/>
      <c r="BL570" s="154"/>
      <c r="BM570" s="154"/>
    </row>
    <row r="571">
      <c r="A571" s="154"/>
      <c r="B571" s="154"/>
      <c r="C571" s="305"/>
      <c r="D571" s="305"/>
      <c r="E571" s="305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  <c r="BI571" s="154"/>
      <c r="BJ571" s="154"/>
      <c r="BK571" s="154"/>
      <c r="BL571" s="154"/>
      <c r="BM571" s="154"/>
    </row>
    <row r="572">
      <c r="A572" s="154"/>
      <c r="B572" s="154"/>
      <c r="C572" s="305"/>
      <c r="D572" s="305"/>
      <c r="E572" s="305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  <c r="BI572" s="154"/>
      <c r="BJ572" s="154"/>
      <c r="BK572" s="154"/>
      <c r="BL572" s="154"/>
      <c r="BM572" s="154"/>
    </row>
    <row r="573">
      <c r="A573" s="154"/>
      <c r="B573" s="154"/>
      <c r="C573" s="305"/>
      <c r="D573" s="305"/>
      <c r="E573" s="305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  <c r="BI573" s="154"/>
      <c r="BJ573" s="154"/>
      <c r="BK573" s="154"/>
      <c r="BL573" s="154"/>
      <c r="BM573" s="154"/>
    </row>
    <row r="574">
      <c r="A574" s="154"/>
      <c r="B574" s="154"/>
      <c r="C574" s="305"/>
      <c r="D574" s="305"/>
      <c r="E574" s="305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  <c r="BI574" s="154"/>
      <c r="BJ574" s="154"/>
      <c r="BK574" s="154"/>
      <c r="BL574" s="154"/>
      <c r="BM574" s="154"/>
    </row>
    <row r="575">
      <c r="A575" s="154"/>
      <c r="B575" s="154"/>
      <c r="C575" s="305"/>
      <c r="D575" s="305"/>
      <c r="E575" s="305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  <c r="BI575" s="154"/>
      <c r="BJ575" s="154"/>
      <c r="BK575" s="154"/>
      <c r="BL575" s="154"/>
      <c r="BM575" s="154"/>
    </row>
    <row r="576">
      <c r="A576" s="154"/>
      <c r="B576" s="154"/>
      <c r="C576" s="305"/>
      <c r="D576" s="305"/>
      <c r="E576" s="305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  <c r="BI576" s="154"/>
      <c r="BJ576" s="154"/>
      <c r="BK576" s="154"/>
      <c r="BL576" s="154"/>
      <c r="BM576" s="154"/>
    </row>
    <row r="577">
      <c r="A577" s="154"/>
      <c r="B577" s="154"/>
      <c r="C577" s="305"/>
      <c r="D577" s="305"/>
      <c r="E577" s="305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  <c r="BI577" s="154"/>
      <c r="BJ577" s="154"/>
      <c r="BK577" s="154"/>
      <c r="BL577" s="154"/>
      <c r="BM577" s="154"/>
    </row>
    <row r="578">
      <c r="A578" s="154"/>
      <c r="B578" s="154"/>
      <c r="C578" s="305"/>
      <c r="D578" s="305"/>
      <c r="E578" s="305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  <c r="BI578" s="154"/>
      <c r="BJ578" s="154"/>
      <c r="BK578" s="154"/>
      <c r="BL578" s="154"/>
      <c r="BM578" s="154"/>
    </row>
    <row r="579">
      <c r="A579" s="154"/>
      <c r="B579" s="154"/>
      <c r="C579" s="305"/>
      <c r="D579" s="305"/>
      <c r="E579" s="305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  <c r="BI579" s="154"/>
      <c r="BJ579" s="154"/>
      <c r="BK579" s="154"/>
      <c r="BL579" s="154"/>
      <c r="BM579" s="154"/>
    </row>
    <row r="580">
      <c r="A580" s="154"/>
      <c r="B580" s="154"/>
      <c r="C580" s="305"/>
      <c r="D580" s="305"/>
      <c r="E580" s="305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  <c r="BI580" s="154"/>
      <c r="BJ580" s="154"/>
      <c r="BK580" s="154"/>
      <c r="BL580" s="154"/>
      <c r="BM580" s="154"/>
    </row>
    <row r="581">
      <c r="A581" s="154"/>
      <c r="B581" s="154"/>
      <c r="C581" s="305"/>
      <c r="D581" s="305"/>
      <c r="E581" s="305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  <c r="BI581" s="154"/>
      <c r="BJ581" s="154"/>
      <c r="BK581" s="154"/>
      <c r="BL581" s="154"/>
      <c r="BM581" s="154"/>
    </row>
    <row r="582">
      <c r="A582" s="154"/>
      <c r="B582" s="154"/>
      <c r="C582" s="305"/>
      <c r="D582" s="305"/>
      <c r="E582" s="305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  <c r="BI582" s="154"/>
      <c r="BJ582" s="154"/>
      <c r="BK582" s="154"/>
      <c r="BL582" s="154"/>
      <c r="BM582" s="154"/>
    </row>
    <row r="583">
      <c r="A583" s="154"/>
      <c r="B583" s="154"/>
      <c r="C583" s="305"/>
      <c r="D583" s="305"/>
      <c r="E583" s="305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  <c r="BI583" s="154"/>
      <c r="BJ583" s="154"/>
      <c r="BK583" s="154"/>
      <c r="BL583" s="154"/>
      <c r="BM583" s="154"/>
    </row>
    <row r="584">
      <c r="A584" s="154"/>
      <c r="B584" s="154"/>
      <c r="C584" s="305"/>
      <c r="D584" s="305"/>
      <c r="E584" s="305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  <c r="BI584" s="154"/>
      <c r="BJ584" s="154"/>
      <c r="BK584" s="154"/>
      <c r="BL584" s="154"/>
      <c r="BM584" s="154"/>
    </row>
    <row r="585">
      <c r="A585" s="154"/>
      <c r="B585" s="154"/>
      <c r="C585" s="305"/>
      <c r="D585" s="305"/>
      <c r="E585" s="305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  <c r="BI585" s="154"/>
      <c r="BJ585" s="154"/>
      <c r="BK585" s="154"/>
      <c r="BL585" s="154"/>
      <c r="BM585" s="154"/>
    </row>
    <row r="586">
      <c r="A586" s="154"/>
      <c r="B586" s="154"/>
      <c r="C586" s="305"/>
      <c r="D586" s="305"/>
      <c r="E586" s="305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  <c r="BI586" s="154"/>
      <c r="BJ586" s="154"/>
      <c r="BK586" s="154"/>
      <c r="BL586" s="154"/>
      <c r="BM586" s="154"/>
    </row>
    <row r="587">
      <c r="A587" s="154"/>
      <c r="B587" s="154"/>
      <c r="C587" s="305"/>
      <c r="D587" s="305"/>
      <c r="E587" s="305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  <c r="BI587" s="154"/>
      <c r="BJ587" s="154"/>
      <c r="BK587" s="154"/>
      <c r="BL587" s="154"/>
      <c r="BM587" s="154"/>
    </row>
    <row r="588">
      <c r="A588" s="154"/>
      <c r="B588" s="154"/>
      <c r="C588" s="305"/>
      <c r="D588" s="305"/>
      <c r="E588" s="305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  <c r="BI588" s="154"/>
      <c r="BJ588" s="154"/>
      <c r="BK588" s="154"/>
      <c r="BL588" s="154"/>
      <c r="BM588" s="154"/>
    </row>
    <row r="589">
      <c r="A589" s="154"/>
      <c r="B589" s="154"/>
      <c r="C589" s="305"/>
      <c r="D589" s="305"/>
      <c r="E589" s="305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  <c r="BI589" s="154"/>
      <c r="BJ589" s="154"/>
      <c r="BK589" s="154"/>
      <c r="BL589" s="154"/>
      <c r="BM589" s="154"/>
    </row>
    <row r="590">
      <c r="A590" s="154"/>
      <c r="B590" s="154"/>
      <c r="C590" s="305"/>
      <c r="D590" s="305"/>
      <c r="E590" s="305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  <c r="BI590" s="154"/>
      <c r="BJ590" s="154"/>
      <c r="BK590" s="154"/>
      <c r="BL590" s="154"/>
      <c r="BM590" s="154"/>
    </row>
    <row r="591">
      <c r="A591" s="154"/>
      <c r="B591" s="154"/>
      <c r="C591" s="305"/>
      <c r="D591" s="305"/>
      <c r="E591" s="305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  <c r="BI591" s="154"/>
      <c r="BJ591" s="154"/>
      <c r="BK591" s="154"/>
      <c r="BL591" s="154"/>
      <c r="BM591" s="154"/>
    </row>
    <row r="592">
      <c r="A592" s="154"/>
      <c r="B592" s="154"/>
      <c r="C592" s="305"/>
      <c r="D592" s="305"/>
      <c r="E592" s="305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  <c r="BI592" s="154"/>
      <c r="BJ592" s="154"/>
      <c r="BK592" s="154"/>
      <c r="BL592" s="154"/>
      <c r="BM592" s="154"/>
    </row>
    <row r="593">
      <c r="A593" s="154"/>
      <c r="B593" s="154"/>
      <c r="C593" s="305"/>
      <c r="D593" s="305"/>
      <c r="E593" s="305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  <c r="BI593" s="154"/>
      <c r="BJ593" s="154"/>
      <c r="BK593" s="154"/>
      <c r="BL593" s="154"/>
      <c r="BM593" s="154"/>
    </row>
    <row r="594">
      <c r="A594" s="154"/>
      <c r="B594" s="154"/>
      <c r="C594" s="305"/>
      <c r="D594" s="305"/>
      <c r="E594" s="305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  <c r="BI594" s="154"/>
      <c r="BJ594" s="154"/>
      <c r="BK594" s="154"/>
      <c r="BL594" s="154"/>
      <c r="BM594" s="154"/>
    </row>
    <row r="595">
      <c r="A595" s="154"/>
      <c r="B595" s="154"/>
      <c r="C595" s="305"/>
      <c r="D595" s="305"/>
      <c r="E595" s="305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  <c r="BI595" s="154"/>
      <c r="BJ595" s="154"/>
      <c r="BK595" s="154"/>
      <c r="BL595" s="154"/>
      <c r="BM595" s="154"/>
    </row>
    <row r="596">
      <c r="A596" s="154"/>
      <c r="B596" s="154"/>
      <c r="C596" s="305"/>
      <c r="D596" s="305"/>
      <c r="E596" s="305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  <c r="BI596" s="154"/>
      <c r="BJ596" s="154"/>
      <c r="BK596" s="154"/>
      <c r="BL596" s="154"/>
      <c r="BM596" s="154"/>
    </row>
    <row r="597">
      <c r="A597" s="154"/>
      <c r="B597" s="154"/>
      <c r="C597" s="305"/>
      <c r="D597" s="305"/>
      <c r="E597" s="305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  <c r="BI597" s="154"/>
      <c r="BJ597" s="154"/>
      <c r="BK597" s="154"/>
      <c r="BL597" s="154"/>
      <c r="BM597" s="154"/>
    </row>
    <row r="598">
      <c r="A598" s="154"/>
      <c r="B598" s="154"/>
      <c r="C598" s="305"/>
      <c r="D598" s="305"/>
      <c r="E598" s="305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  <c r="BI598" s="154"/>
      <c r="BJ598" s="154"/>
      <c r="BK598" s="154"/>
      <c r="BL598" s="154"/>
      <c r="BM598" s="154"/>
    </row>
    <row r="599">
      <c r="A599" s="154"/>
      <c r="B599" s="154"/>
      <c r="C599" s="305"/>
      <c r="D599" s="305"/>
      <c r="E599" s="305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  <c r="BI599" s="154"/>
      <c r="BJ599" s="154"/>
      <c r="BK599" s="154"/>
      <c r="BL599" s="154"/>
      <c r="BM599" s="154"/>
    </row>
    <row r="600">
      <c r="A600" s="154"/>
      <c r="B600" s="154"/>
      <c r="C600" s="305"/>
      <c r="D600" s="305"/>
      <c r="E600" s="305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  <c r="BI600" s="154"/>
      <c r="BJ600" s="154"/>
      <c r="BK600" s="154"/>
      <c r="BL600" s="154"/>
      <c r="BM600" s="154"/>
    </row>
    <row r="601">
      <c r="A601" s="154"/>
      <c r="B601" s="154"/>
      <c r="C601" s="305"/>
      <c r="D601" s="305"/>
      <c r="E601" s="305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  <c r="BI601" s="154"/>
      <c r="BJ601" s="154"/>
      <c r="BK601" s="154"/>
      <c r="BL601" s="154"/>
      <c r="BM601" s="154"/>
    </row>
    <row r="602">
      <c r="A602" s="154"/>
      <c r="B602" s="154"/>
      <c r="C602" s="305"/>
      <c r="D602" s="305"/>
      <c r="E602" s="305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  <c r="BI602" s="154"/>
      <c r="BJ602" s="154"/>
      <c r="BK602" s="154"/>
      <c r="BL602" s="154"/>
      <c r="BM602" s="154"/>
    </row>
    <row r="603">
      <c r="A603" s="154"/>
      <c r="B603" s="154"/>
      <c r="C603" s="305"/>
      <c r="D603" s="305"/>
      <c r="E603" s="305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  <c r="BI603" s="154"/>
      <c r="BJ603" s="154"/>
      <c r="BK603" s="154"/>
      <c r="BL603" s="154"/>
      <c r="BM603" s="154"/>
    </row>
    <row r="604">
      <c r="A604" s="154"/>
      <c r="B604" s="154"/>
      <c r="C604" s="305"/>
      <c r="D604" s="305"/>
      <c r="E604" s="305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  <c r="BI604" s="154"/>
      <c r="BJ604" s="154"/>
      <c r="BK604" s="154"/>
      <c r="BL604" s="154"/>
      <c r="BM604" s="154"/>
    </row>
    <row r="605">
      <c r="A605" s="154"/>
      <c r="B605" s="154"/>
      <c r="C605" s="305"/>
      <c r="D605" s="305"/>
      <c r="E605" s="305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  <c r="BI605" s="154"/>
      <c r="BJ605" s="154"/>
      <c r="BK605" s="154"/>
      <c r="BL605" s="154"/>
      <c r="BM605" s="154"/>
    </row>
    <row r="606">
      <c r="A606" s="154"/>
      <c r="B606" s="154"/>
      <c r="C606" s="305"/>
      <c r="D606" s="305"/>
      <c r="E606" s="305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  <c r="BI606" s="154"/>
      <c r="BJ606" s="154"/>
      <c r="BK606" s="154"/>
      <c r="BL606" s="154"/>
      <c r="BM606" s="154"/>
    </row>
    <row r="607">
      <c r="A607" s="154"/>
      <c r="B607" s="154"/>
      <c r="C607" s="305"/>
      <c r="D607" s="305"/>
      <c r="E607" s="305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  <c r="BI607" s="154"/>
      <c r="BJ607" s="154"/>
      <c r="BK607" s="154"/>
      <c r="BL607" s="154"/>
      <c r="BM607" s="154"/>
    </row>
    <row r="608">
      <c r="A608" s="154"/>
      <c r="B608" s="154"/>
      <c r="C608" s="305"/>
      <c r="D608" s="305"/>
      <c r="E608" s="305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  <c r="BI608" s="154"/>
      <c r="BJ608" s="154"/>
      <c r="BK608" s="154"/>
      <c r="BL608" s="154"/>
      <c r="BM608" s="154"/>
    </row>
    <row r="609">
      <c r="A609" s="154"/>
      <c r="B609" s="154"/>
      <c r="C609" s="305"/>
      <c r="D609" s="305"/>
      <c r="E609" s="305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  <c r="BI609" s="154"/>
      <c r="BJ609" s="154"/>
      <c r="BK609" s="154"/>
      <c r="BL609" s="154"/>
      <c r="BM609" s="154"/>
    </row>
    <row r="610">
      <c r="A610" s="154"/>
      <c r="B610" s="154"/>
      <c r="C610" s="305"/>
      <c r="D610" s="305"/>
      <c r="E610" s="305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  <c r="BI610" s="154"/>
      <c r="BJ610" s="154"/>
      <c r="BK610" s="154"/>
      <c r="BL610" s="154"/>
      <c r="BM610" s="154"/>
    </row>
    <row r="611">
      <c r="A611" s="154"/>
      <c r="B611" s="154"/>
      <c r="C611" s="305"/>
      <c r="D611" s="305"/>
      <c r="E611" s="305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  <c r="BI611" s="154"/>
      <c r="BJ611" s="154"/>
      <c r="BK611" s="154"/>
      <c r="BL611" s="154"/>
      <c r="BM611" s="154"/>
    </row>
    <row r="612">
      <c r="A612" s="154"/>
      <c r="B612" s="154"/>
      <c r="C612" s="305"/>
      <c r="D612" s="305"/>
      <c r="E612" s="305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  <c r="BI612" s="154"/>
      <c r="BJ612" s="154"/>
      <c r="BK612" s="154"/>
      <c r="BL612" s="154"/>
      <c r="BM612" s="154"/>
    </row>
    <row r="613">
      <c r="A613" s="154"/>
      <c r="B613" s="154"/>
      <c r="C613" s="305"/>
      <c r="D613" s="305"/>
      <c r="E613" s="305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  <c r="BI613" s="154"/>
      <c r="BJ613" s="154"/>
      <c r="BK613" s="154"/>
      <c r="BL613" s="154"/>
      <c r="BM613" s="154"/>
    </row>
    <row r="614">
      <c r="A614" s="154"/>
      <c r="B614" s="154"/>
      <c r="C614" s="305"/>
      <c r="D614" s="305"/>
      <c r="E614" s="305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  <c r="BI614" s="154"/>
      <c r="BJ614" s="154"/>
      <c r="BK614" s="154"/>
      <c r="BL614" s="154"/>
      <c r="BM614" s="154"/>
    </row>
    <row r="615">
      <c r="A615" s="154"/>
      <c r="B615" s="154"/>
      <c r="C615" s="305"/>
      <c r="D615" s="305"/>
      <c r="E615" s="305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  <c r="BI615" s="154"/>
      <c r="BJ615" s="154"/>
      <c r="BK615" s="154"/>
      <c r="BL615" s="154"/>
      <c r="BM615" s="154"/>
    </row>
    <row r="616">
      <c r="A616" s="154"/>
      <c r="B616" s="154"/>
      <c r="C616" s="305"/>
      <c r="D616" s="305"/>
      <c r="E616" s="305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  <c r="BI616" s="154"/>
      <c r="BJ616" s="154"/>
      <c r="BK616" s="154"/>
      <c r="BL616" s="154"/>
      <c r="BM616" s="154"/>
    </row>
    <row r="617">
      <c r="A617" s="154"/>
      <c r="B617" s="154"/>
      <c r="C617" s="305"/>
      <c r="D617" s="305"/>
      <c r="E617" s="305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  <c r="BI617" s="154"/>
      <c r="BJ617" s="154"/>
      <c r="BK617" s="154"/>
      <c r="BL617" s="154"/>
      <c r="BM617" s="154"/>
    </row>
    <row r="618">
      <c r="A618" s="154"/>
      <c r="B618" s="154"/>
      <c r="C618" s="305"/>
      <c r="D618" s="305"/>
      <c r="E618" s="305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  <c r="BI618" s="154"/>
      <c r="BJ618" s="154"/>
      <c r="BK618" s="154"/>
      <c r="BL618" s="154"/>
      <c r="BM618" s="154"/>
    </row>
    <row r="619">
      <c r="A619" s="154"/>
      <c r="B619" s="154"/>
      <c r="C619" s="305"/>
      <c r="D619" s="305"/>
      <c r="E619" s="305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  <c r="BI619" s="154"/>
      <c r="BJ619" s="154"/>
      <c r="BK619" s="154"/>
      <c r="BL619" s="154"/>
      <c r="BM619" s="154"/>
    </row>
    <row r="620">
      <c r="A620" s="154"/>
      <c r="B620" s="154"/>
      <c r="C620" s="305"/>
      <c r="D620" s="305"/>
      <c r="E620" s="305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  <c r="BI620" s="154"/>
      <c r="BJ620" s="154"/>
      <c r="BK620" s="154"/>
      <c r="BL620" s="154"/>
      <c r="BM620" s="154"/>
    </row>
    <row r="621">
      <c r="A621" s="154"/>
      <c r="B621" s="154"/>
      <c r="C621" s="305"/>
      <c r="D621" s="305"/>
      <c r="E621" s="305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  <c r="BI621" s="154"/>
      <c r="BJ621" s="154"/>
      <c r="BK621" s="154"/>
      <c r="BL621" s="154"/>
      <c r="BM621" s="154"/>
    </row>
    <row r="622">
      <c r="A622" s="154"/>
      <c r="B622" s="154"/>
      <c r="C622" s="305"/>
      <c r="D622" s="305"/>
      <c r="E622" s="305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  <c r="BI622" s="154"/>
      <c r="BJ622" s="154"/>
      <c r="BK622" s="154"/>
      <c r="BL622" s="154"/>
      <c r="BM622" s="154"/>
    </row>
    <row r="623">
      <c r="A623" s="154"/>
      <c r="B623" s="154"/>
      <c r="C623" s="305"/>
      <c r="D623" s="305"/>
      <c r="E623" s="305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  <c r="BI623" s="154"/>
      <c r="BJ623" s="154"/>
      <c r="BK623" s="154"/>
      <c r="BL623" s="154"/>
      <c r="BM623" s="154"/>
    </row>
    <row r="624">
      <c r="A624" s="154"/>
      <c r="B624" s="154"/>
      <c r="C624" s="305"/>
      <c r="D624" s="305"/>
      <c r="E624" s="305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  <c r="BI624" s="154"/>
      <c r="BJ624" s="154"/>
      <c r="BK624" s="154"/>
      <c r="BL624" s="154"/>
      <c r="BM624" s="154"/>
    </row>
    <row r="625">
      <c r="A625" s="154"/>
      <c r="B625" s="154"/>
      <c r="C625" s="305"/>
      <c r="D625" s="305"/>
      <c r="E625" s="305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  <c r="BI625" s="154"/>
      <c r="BJ625" s="154"/>
      <c r="BK625" s="154"/>
      <c r="BL625" s="154"/>
      <c r="BM625" s="154"/>
    </row>
    <row r="626">
      <c r="A626" s="154"/>
      <c r="B626" s="154"/>
      <c r="C626" s="305"/>
      <c r="D626" s="305"/>
      <c r="E626" s="305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  <c r="BI626" s="154"/>
      <c r="BJ626" s="154"/>
      <c r="BK626" s="154"/>
      <c r="BL626" s="154"/>
      <c r="BM626" s="154"/>
    </row>
    <row r="627">
      <c r="A627" s="154"/>
      <c r="B627" s="154"/>
      <c r="C627" s="305"/>
      <c r="D627" s="305"/>
      <c r="E627" s="305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  <c r="BI627" s="154"/>
      <c r="BJ627" s="154"/>
      <c r="BK627" s="154"/>
      <c r="BL627" s="154"/>
      <c r="BM627" s="154"/>
    </row>
    <row r="628">
      <c r="A628" s="154"/>
      <c r="B628" s="154"/>
      <c r="C628" s="305"/>
      <c r="D628" s="305"/>
      <c r="E628" s="305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  <c r="BI628" s="154"/>
      <c r="BJ628" s="154"/>
      <c r="BK628" s="154"/>
      <c r="BL628" s="154"/>
      <c r="BM628" s="154"/>
    </row>
    <row r="629">
      <c r="A629" s="154"/>
      <c r="B629" s="154"/>
      <c r="C629" s="305"/>
      <c r="D629" s="305"/>
      <c r="E629" s="305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  <c r="BI629" s="154"/>
      <c r="BJ629" s="154"/>
      <c r="BK629" s="154"/>
      <c r="BL629" s="154"/>
      <c r="BM629" s="154"/>
    </row>
    <row r="630">
      <c r="A630" s="154"/>
      <c r="B630" s="154"/>
      <c r="C630" s="305"/>
      <c r="D630" s="305"/>
      <c r="E630" s="305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  <c r="BI630" s="154"/>
      <c r="BJ630" s="154"/>
      <c r="BK630" s="154"/>
      <c r="BL630" s="154"/>
      <c r="BM630" s="154"/>
    </row>
    <row r="631">
      <c r="A631" s="154"/>
      <c r="B631" s="154"/>
      <c r="C631" s="305"/>
      <c r="D631" s="305"/>
      <c r="E631" s="305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  <c r="BI631" s="154"/>
      <c r="BJ631" s="154"/>
      <c r="BK631" s="154"/>
      <c r="BL631" s="154"/>
      <c r="BM631" s="154"/>
    </row>
    <row r="632">
      <c r="A632" s="154"/>
      <c r="B632" s="154"/>
      <c r="C632" s="305"/>
      <c r="D632" s="305"/>
      <c r="E632" s="305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  <c r="BI632" s="154"/>
      <c r="BJ632" s="154"/>
      <c r="BK632" s="154"/>
      <c r="BL632" s="154"/>
      <c r="BM632" s="154"/>
    </row>
    <row r="633">
      <c r="A633" s="154"/>
      <c r="B633" s="154"/>
      <c r="C633" s="305"/>
      <c r="D633" s="305"/>
      <c r="E633" s="305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  <c r="BI633" s="154"/>
      <c r="BJ633" s="154"/>
      <c r="BK633" s="154"/>
      <c r="BL633" s="154"/>
      <c r="BM633" s="154"/>
    </row>
    <row r="634">
      <c r="A634" s="154"/>
      <c r="B634" s="154"/>
      <c r="C634" s="305"/>
      <c r="D634" s="305"/>
      <c r="E634" s="305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  <c r="BI634" s="154"/>
      <c r="BJ634" s="154"/>
      <c r="BK634" s="154"/>
      <c r="BL634" s="154"/>
      <c r="BM634" s="154"/>
    </row>
    <row r="635">
      <c r="A635" s="154"/>
      <c r="B635" s="154"/>
      <c r="C635" s="305"/>
      <c r="D635" s="305"/>
      <c r="E635" s="305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  <c r="BI635" s="154"/>
      <c r="BJ635" s="154"/>
      <c r="BK635" s="154"/>
      <c r="BL635" s="154"/>
      <c r="BM635" s="154"/>
    </row>
    <row r="636">
      <c r="A636" s="154"/>
      <c r="B636" s="154"/>
      <c r="C636" s="305"/>
      <c r="D636" s="305"/>
      <c r="E636" s="305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  <c r="BI636" s="154"/>
      <c r="BJ636" s="154"/>
      <c r="BK636" s="154"/>
      <c r="BL636" s="154"/>
      <c r="BM636" s="154"/>
    </row>
    <row r="637">
      <c r="A637" s="154"/>
      <c r="B637" s="154"/>
      <c r="C637" s="305"/>
      <c r="D637" s="305"/>
      <c r="E637" s="305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  <c r="BI637" s="154"/>
      <c r="BJ637" s="154"/>
      <c r="BK637" s="154"/>
      <c r="BL637" s="154"/>
      <c r="BM637" s="154"/>
    </row>
    <row r="638">
      <c r="A638" s="154"/>
      <c r="B638" s="154"/>
      <c r="C638" s="305"/>
      <c r="D638" s="305"/>
      <c r="E638" s="305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  <c r="BI638" s="154"/>
      <c r="BJ638" s="154"/>
      <c r="BK638" s="154"/>
      <c r="BL638" s="154"/>
      <c r="BM638" s="154"/>
    </row>
    <row r="639">
      <c r="A639" s="154"/>
      <c r="B639" s="154"/>
      <c r="C639" s="305"/>
      <c r="D639" s="305"/>
      <c r="E639" s="305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  <c r="BI639" s="154"/>
      <c r="BJ639" s="154"/>
      <c r="BK639" s="154"/>
      <c r="BL639" s="154"/>
      <c r="BM639" s="154"/>
    </row>
    <row r="640">
      <c r="A640" s="154"/>
      <c r="B640" s="154"/>
      <c r="C640" s="305"/>
      <c r="D640" s="305"/>
      <c r="E640" s="305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  <c r="BI640" s="154"/>
      <c r="BJ640" s="154"/>
      <c r="BK640" s="154"/>
      <c r="BL640" s="154"/>
      <c r="BM640" s="154"/>
    </row>
    <row r="641">
      <c r="A641" s="154"/>
      <c r="B641" s="154"/>
      <c r="C641" s="305"/>
      <c r="D641" s="305"/>
      <c r="E641" s="305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  <c r="BI641" s="154"/>
      <c r="BJ641" s="154"/>
      <c r="BK641" s="154"/>
      <c r="BL641" s="154"/>
      <c r="BM641" s="154"/>
    </row>
    <row r="642">
      <c r="A642" s="154"/>
      <c r="B642" s="154"/>
      <c r="C642" s="305"/>
      <c r="D642" s="305"/>
      <c r="E642" s="305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  <c r="BI642" s="154"/>
      <c r="BJ642" s="154"/>
      <c r="BK642" s="154"/>
      <c r="BL642" s="154"/>
      <c r="BM642" s="154"/>
    </row>
    <row r="643">
      <c r="A643" s="154"/>
      <c r="B643" s="154"/>
      <c r="C643" s="305"/>
      <c r="D643" s="305"/>
      <c r="E643" s="305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  <c r="BI643" s="154"/>
      <c r="BJ643" s="154"/>
      <c r="BK643" s="154"/>
      <c r="BL643" s="154"/>
      <c r="BM643" s="154"/>
    </row>
    <row r="644">
      <c r="A644" s="154"/>
      <c r="B644" s="154"/>
      <c r="C644" s="305"/>
      <c r="D644" s="305"/>
      <c r="E644" s="305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  <c r="BI644" s="154"/>
      <c r="BJ644" s="154"/>
      <c r="BK644" s="154"/>
      <c r="BL644" s="154"/>
      <c r="BM644" s="154"/>
    </row>
    <row r="645">
      <c r="A645" s="154"/>
      <c r="B645" s="154"/>
      <c r="C645" s="305"/>
      <c r="D645" s="305"/>
      <c r="E645" s="305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  <c r="BI645" s="154"/>
      <c r="BJ645" s="154"/>
      <c r="BK645" s="154"/>
      <c r="BL645" s="154"/>
      <c r="BM645" s="154"/>
    </row>
    <row r="646">
      <c r="A646" s="154"/>
      <c r="B646" s="154"/>
      <c r="C646" s="305"/>
      <c r="D646" s="305"/>
      <c r="E646" s="305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  <c r="BI646" s="154"/>
      <c r="BJ646" s="154"/>
      <c r="BK646" s="154"/>
      <c r="BL646" s="154"/>
      <c r="BM646" s="154"/>
    </row>
    <row r="647">
      <c r="A647" s="154"/>
      <c r="B647" s="154"/>
      <c r="C647" s="305"/>
      <c r="D647" s="305"/>
      <c r="E647" s="305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  <c r="BI647" s="154"/>
      <c r="BJ647" s="154"/>
      <c r="BK647" s="154"/>
      <c r="BL647" s="154"/>
      <c r="BM647" s="154"/>
    </row>
    <row r="648">
      <c r="A648" s="154"/>
      <c r="B648" s="154"/>
      <c r="C648" s="305"/>
      <c r="D648" s="305"/>
      <c r="E648" s="305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  <c r="BI648" s="154"/>
      <c r="BJ648" s="154"/>
      <c r="BK648" s="154"/>
      <c r="BL648" s="154"/>
      <c r="BM648" s="154"/>
    </row>
    <row r="649">
      <c r="A649" s="154"/>
      <c r="B649" s="154"/>
      <c r="C649" s="305"/>
      <c r="D649" s="305"/>
      <c r="E649" s="305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  <c r="BI649" s="154"/>
      <c r="BJ649" s="154"/>
      <c r="BK649" s="154"/>
      <c r="BL649" s="154"/>
      <c r="BM649" s="154"/>
    </row>
    <row r="650">
      <c r="A650" s="154"/>
      <c r="B650" s="154"/>
      <c r="C650" s="305"/>
      <c r="D650" s="305"/>
      <c r="E650" s="305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  <c r="BI650" s="154"/>
      <c r="BJ650" s="154"/>
      <c r="BK650" s="154"/>
      <c r="BL650" s="154"/>
      <c r="BM650" s="154"/>
    </row>
    <row r="651">
      <c r="A651" s="154"/>
      <c r="B651" s="154"/>
      <c r="C651" s="305"/>
      <c r="D651" s="305"/>
      <c r="E651" s="305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  <c r="BI651" s="154"/>
      <c r="BJ651" s="154"/>
      <c r="BK651" s="154"/>
      <c r="BL651" s="154"/>
      <c r="BM651" s="154"/>
    </row>
    <row r="652">
      <c r="A652" s="154"/>
      <c r="B652" s="154"/>
      <c r="C652" s="305"/>
      <c r="D652" s="305"/>
      <c r="E652" s="305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  <c r="BI652" s="154"/>
      <c r="BJ652" s="154"/>
      <c r="BK652" s="154"/>
      <c r="BL652" s="154"/>
      <c r="BM652" s="154"/>
    </row>
    <row r="653">
      <c r="A653" s="154"/>
      <c r="B653" s="154"/>
      <c r="C653" s="305"/>
      <c r="D653" s="305"/>
      <c r="E653" s="305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  <c r="BI653" s="154"/>
      <c r="BJ653" s="154"/>
      <c r="BK653" s="154"/>
      <c r="BL653" s="154"/>
      <c r="BM653" s="154"/>
    </row>
    <row r="654">
      <c r="A654" s="154"/>
      <c r="B654" s="154"/>
      <c r="C654" s="305"/>
      <c r="D654" s="305"/>
      <c r="E654" s="305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  <c r="BI654" s="154"/>
      <c r="BJ654" s="154"/>
      <c r="BK654" s="154"/>
      <c r="BL654" s="154"/>
      <c r="BM654" s="154"/>
    </row>
    <row r="655">
      <c r="A655" s="154"/>
      <c r="B655" s="154"/>
      <c r="C655" s="305"/>
      <c r="D655" s="305"/>
      <c r="E655" s="305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  <c r="BI655" s="154"/>
      <c r="BJ655" s="154"/>
      <c r="BK655" s="154"/>
      <c r="BL655" s="154"/>
      <c r="BM655" s="154"/>
    </row>
    <row r="656">
      <c r="A656" s="154"/>
      <c r="B656" s="154"/>
      <c r="C656" s="305"/>
      <c r="D656" s="305"/>
      <c r="E656" s="305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  <c r="BI656" s="154"/>
      <c r="BJ656" s="154"/>
      <c r="BK656" s="154"/>
      <c r="BL656" s="154"/>
      <c r="BM656" s="154"/>
    </row>
    <row r="657">
      <c r="A657" s="154"/>
      <c r="B657" s="154"/>
      <c r="C657" s="305"/>
      <c r="D657" s="305"/>
      <c r="E657" s="305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  <c r="BI657" s="154"/>
      <c r="BJ657" s="154"/>
      <c r="BK657" s="154"/>
      <c r="BL657" s="154"/>
      <c r="BM657" s="154"/>
    </row>
    <row r="658">
      <c r="A658" s="154"/>
      <c r="B658" s="154"/>
      <c r="C658" s="305"/>
      <c r="D658" s="305"/>
      <c r="E658" s="305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  <c r="BI658" s="154"/>
      <c r="BJ658" s="154"/>
      <c r="BK658" s="154"/>
      <c r="BL658" s="154"/>
      <c r="BM658" s="154"/>
    </row>
    <row r="659">
      <c r="A659" s="154"/>
      <c r="B659" s="154"/>
      <c r="C659" s="305"/>
      <c r="D659" s="305"/>
      <c r="E659" s="305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  <c r="BI659" s="154"/>
      <c r="BJ659" s="154"/>
      <c r="BK659" s="154"/>
      <c r="BL659" s="154"/>
      <c r="BM659" s="154"/>
    </row>
    <row r="660">
      <c r="A660" s="154"/>
      <c r="B660" s="154"/>
      <c r="C660" s="305"/>
      <c r="D660" s="305"/>
      <c r="E660" s="305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  <c r="BI660" s="154"/>
      <c r="BJ660" s="154"/>
      <c r="BK660" s="154"/>
      <c r="BL660" s="154"/>
      <c r="BM660" s="154"/>
    </row>
    <row r="661">
      <c r="A661" s="154"/>
      <c r="B661" s="154"/>
      <c r="C661" s="305"/>
      <c r="D661" s="305"/>
      <c r="E661" s="305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  <c r="BI661" s="154"/>
      <c r="BJ661" s="154"/>
      <c r="BK661" s="154"/>
      <c r="BL661" s="154"/>
      <c r="BM661" s="154"/>
    </row>
    <row r="662">
      <c r="A662" s="154"/>
      <c r="B662" s="154"/>
      <c r="C662" s="305"/>
      <c r="D662" s="305"/>
      <c r="E662" s="305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  <c r="BI662" s="154"/>
      <c r="BJ662" s="154"/>
      <c r="BK662" s="154"/>
      <c r="BL662" s="154"/>
      <c r="BM662" s="154"/>
    </row>
    <row r="663">
      <c r="A663" s="154"/>
      <c r="B663" s="154"/>
      <c r="C663" s="305"/>
      <c r="D663" s="305"/>
      <c r="E663" s="305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  <c r="BI663" s="154"/>
      <c r="BJ663" s="154"/>
      <c r="BK663" s="154"/>
      <c r="BL663" s="154"/>
      <c r="BM663" s="154"/>
    </row>
    <row r="664">
      <c r="A664" s="154"/>
      <c r="B664" s="154"/>
      <c r="C664" s="305"/>
      <c r="D664" s="305"/>
      <c r="E664" s="305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  <c r="BI664" s="154"/>
      <c r="BJ664" s="154"/>
      <c r="BK664" s="154"/>
      <c r="BL664" s="154"/>
      <c r="BM664" s="154"/>
    </row>
    <row r="665">
      <c r="A665" s="154"/>
      <c r="B665" s="154"/>
      <c r="C665" s="305"/>
      <c r="D665" s="305"/>
      <c r="E665" s="305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  <c r="BI665" s="154"/>
      <c r="BJ665" s="154"/>
      <c r="BK665" s="154"/>
      <c r="BL665" s="154"/>
      <c r="BM665" s="154"/>
    </row>
    <row r="666">
      <c r="A666" s="154"/>
      <c r="B666" s="154"/>
      <c r="C666" s="305"/>
      <c r="D666" s="305"/>
      <c r="E666" s="305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  <c r="BI666" s="154"/>
      <c r="BJ666" s="154"/>
      <c r="BK666" s="154"/>
      <c r="BL666" s="154"/>
      <c r="BM666" s="154"/>
    </row>
    <row r="667">
      <c r="A667" s="154"/>
      <c r="B667" s="154"/>
      <c r="C667" s="305"/>
      <c r="D667" s="305"/>
      <c r="E667" s="305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  <c r="BI667" s="154"/>
      <c r="BJ667" s="154"/>
      <c r="BK667" s="154"/>
      <c r="BL667" s="154"/>
      <c r="BM667" s="154"/>
    </row>
    <row r="668">
      <c r="A668" s="154"/>
      <c r="B668" s="154"/>
      <c r="C668" s="305"/>
      <c r="D668" s="305"/>
      <c r="E668" s="305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  <c r="BI668" s="154"/>
      <c r="BJ668" s="154"/>
      <c r="BK668" s="154"/>
      <c r="BL668" s="154"/>
      <c r="BM668" s="154"/>
    </row>
    <row r="669">
      <c r="A669" s="154"/>
      <c r="B669" s="154"/>
      <c r="C669" s="305"/>
      <c r="D669" s="305"/>
      <c r="E669" s="305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  <c r="BI669" s="154"/>
      <c r="BJ669" s="154"/>
      <c r="BK669" s="154"/>
      <c r="BL669" s="154"/>
      <c r="BM669" s="154"/>
    </row>
    <row r="670">
      <c r="A670" s="154"/>
      <c r="B670" s="154"/>
      <c r="C670" s="305"/>
      <c r="D670" s="305"/>
      <c r="E670" s="305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  <c r="BI670" s="154"/>
      <c r="BJ670" s="154"/>
      <c r="BK670" s="154"/>
      <c r="BL670" s="154"/>
      <c r="BM670" s="154"/>
    </row>
    <row r="671">
      <c r="A671" s="154"/>
      <c r="B671" s="154"/>
      <c r="C671" s="305"/>
      <c r="D671" s="305"/>
      <c r="E671" s="305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  <c r="BI671" s="154"/>
      <c r="BJ671" s="154"/>
      <c r="BK671" s="154"/>
      <c r="BL671" s="154"/>
      <c r="BM671" s="154"/>
    </row>
    <row r="672">
      <c r="A672" s="154"/>
      <c r="B672" s="154"/>
      <c r="C672" s="305"/>
      <c r="D672" s="305"/>
      <c r="E672" s="305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  <c r="BI672" s="154"/>
      <c r="BJ672" s="154"/>
      <c r="BK672" s="154"/>
      <c r="BL672" s="154"/>
      <c r="BM672" s="154"/>
    </row>
    <row r="673">
      <c r="A673" s="154"/>
      <c r="B673" s="154"/>
      <c r="C673" s="305"/>
      <c r="D673" s="305"/>
      <c r="E673" s="305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  <c r="BI673" s="154"/>
      <c r="BJ673" s="154"/>
      <c r="BK673" s="154"/>
      <c r="BL673" s="154"/>
      <c r="BM673" s="154"/>
    </row>
    <row r="674">
      <c r="A674" s="154"/>
      <c r="B674" s="154"/>
      <c r="C674" s="305"/>
      <c r="D674" s="305"/>
      <c r="E674" s="305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  <c r="BI674" s="154"/>
      <c r="BJ674" s="154"/>
      <c r="BK674" s="154"/>
      <c r="BL674" s="154"/>
      <c r="BM674" s="154"/>
    </row>
    <row r="675">
      <c r="A675" s="154"/>
      <c r="B675" s="154"/>
      <c r="C675" s="305"/>
      <c r="D675" s="305"/>
      <c r="E675" s="305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  <c r="BI675" s="154"/>
      <c r="BJ675" s="154"/>
      <c r="BK675" s="154"/>
      <c r="BL675" s="154"/>
      <c r="BM675" s="154"/>
    </row>
    <row r="676">
      <c r="A676" s="154"/>
      <c r="B676" s="154"/>
      <c r="C676" s="305"/>
      <c r="D676" s="305"/>
      <c r="E676" s="305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  <c r="BI676" s="154"/>
      <c r="BJ676" s="154"/>
      <c r="BK676" s="154"/>
      <c r="BL676" s="154"/>
      <c r="BM676" s="154"/>
    </row>
    <row r="677">
      <c r="A677" s="154"/>
      <c r="B677" s="154"/>
      <c r="C677" s="305"/>
      <c r="D677" s="305"/>
      <c r="E677" s="305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  <c r="BI677" s="154"/>
      <c r="BJ677" s="154"/>
      <c r="BK677" s="154"/>
      <c r="BL677" s="154"/>
      <c r="BM677" s="154"/>
    </row>
    <row r="678">
      <c r="A678" s="154"/>
      <c r="B678" s="154"/>
      <c r="C678" s="305"/>
      <c r="D678" s="305"/>
      <c r="E678" s="305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  <c r="BI678" s="154"/>
      <c r="BJ678" s="154"/>
      <c r="BK678" s="154"/>
      <c r="BL678" s="154"/>
      <c r="BM678" s="154"/>
    </row>
    <row r="679">
      <c r="A679" s="154"/>
      <c r="B679" s="154"/>
      <c r="C679" s="305"/>
      <c r="D679" s="305"/>
      <c r="E679" s="305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  <c r="BI679" s="154"/>
      <c r="BJ679" s="154"/>
      <c r="BK679" s="154"/>
      <c r="BL679" s="154"/>
      <c r="BM679" s="154"/>
    </row>
    <row r="680">
      <c r="A680" s="154"/>
      <c r="B680" s="154"/>
      <c r="C680" s="305"/>
      <c r="D680" s="305"/>
      <c r="E680" s="305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  <c r="BI680" s="154"/>
      <c r="BJ680" s="154"/>
      <c r="BK680" s="154"/>
      <c r="BL680" s="154"/>
      <c r="BM680" s="154"/>
    </row>
    <row r="681">
      <c r="A681" s="154"/>
      <c r="B681" s="154"/>
      <c r="C681" s="305"/>
      <c r="D681" s="305"/>
      <c r="E681" s="305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  <c r="BI681" s="154"/>
      <c r="BJ681" s="154"/>
      <c r="BK681" s="154"/>
      <c r="BL681" s="154"/>
      <c r="BM681" s="154"/>
    </row>
    <row r="682">
      <c r="A682" s="154"/>
      <c r="B682" s="154"/>
      <c r="C682" s="305"/>
      <c r="D682" s="305"/>
      <c r="E682" s="305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  <c r="BI682" s="154"/>
      <c r="BJ682" s="154"/>
      <c r="BK682" s="154"/>
      <c r="BL682" s="154"/>
      <c r="BM682" s="154"/>
    </row>
    <row r="683">
      <c r="A683" s="154"/>
      <c r="B683" s="154"/>
      <c r="C683" s="305"/>
      <c r="D683" s="305"/>
      <c r="E683" s="305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  <c r="BI683" s="154"/>
      <c r="BJ683" s="154"/>
      <c r="BK683" s="154"/>
      <c r="BL683" s="154"/>
      <c r="BM683" s="154"/>
    </row>
    <row r="684">
      <c r="A684" s="154"/>
      <c r="B684" s="154"/>
      <c r="C684" s="305"/>
      <c r="D684" s="305"/>
      <c r="E684" s="305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  <c r="BI684" s="154"/>
      <c r="BJ684" s="154"/>
      <c r="BK684" s="154"/>
      <c r="BL684" s="154"/>
      <c r="BM684" s="154"/>
    </row>
    <row r="685">
      <c r="A685" s="154"/>
      <c r="B685" s="154"/>
      <c r="C685" s="305"/>
      <c r="D685" s="305"/>
      <c r="E685" s="305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  <c r="BI685" s="154"/>
      <c r="BJ685" s="154"/>
      <c r="BK685" s="154"/>
      <c r="BL685" s="154"/>
      <c r="BM685" s="154"/>
    </row>
    <row r="686">
      <c r="A686" s="154"/>
      <c r="B686" s="154"/>
      <c r="C686" s="305"/>
      <c r="D686" s="305"/>
      <c r="E686" s="305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  <c r="BI686" s="154"/>
      <c r="BJ686" s="154"/>
      <c r="BK686" s="154"/>
      <c r="BL686" s="154"/>
      <c r="BM686" s="154"/>
    </row>
    <row r="687">
      <c r="A687" s="154"/>
      <c r="B687" s="154"/>
      <c r="C687" s="305"/>
      <c r="D687" s="305"/>
      <c r="E687" s="305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  <c r="BI687" s="154"/>
      <c r="BJ687" s="154"/>
      <c r="BK687" s="154"/>
      <c r="BL687" s="154"/>
      <c r="BM687" s="154"/>
    </row>
    <row r="688">
      <c r="A688" s="154"/>
      <c r="B688" s="154"/>
      <c r="C688" s="305"/>
      <c r="D688" s="305"/>
      <c r="E688" s="305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  <c r="BI688" s="154"/>
      <c r="BJ688" s="154"/>
      <c r="BK688" s="154"/>
      <c r="BL688" s="154"/>
      <c r="BM688" s="154"/>
    </row>
    <row r="689">
      <c r="A689" s="154"/>
      <c r="B689" s="154"/>
      <c r="C689" s="305"/>
      <c r="D689" s="305"/>
      <c r="E689" s="305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  <c r="BI689" s="154"/>
      <c r="BJ689" s="154"/>
      <c r="BK689" s="154"/>
      <c r="BL689" s="154"/>
      <c r="BM689" s="154"/>
    </row>
    <row r="690">
      <c r="A690" s="154"/>
      <c r="B690" s="154"/>
      <c r="C690" s="305"/>
      <c r="D690" s="305"/>
      <c r="E690" s="305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  <c r="BI690" s="154"/>
      <c r="BJ690" s="154"/>
      <c r="BK690" s="154"/>
      <c r="BL690" s="154"/>
      <c r="BM690" s="154"/>
    </row>
    <row r="691">
      <c r="A691" s="154"/>
      <c r="B691" s="154"/>
      <c r="C691" s="305"/>
      <c r="D691" s="305"/>
      <c r="E691" s="305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  <c r="BI691" s="154"/>
      <c r="BJ691" s="154"/>
      <c r="BK691" s="154"/>
      <c r="BL691" s="154"/>
      <c r="BM691" s="154"/>
    </row>
    <row r="692">
      <c r="A692" s="154"/>
      <c r="B692" s="154"/>
      <c r="C692" s="305"/>
      <c r="D692" s="305"/>
      <c r="E692" s="305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  <c r="BI692" s="154"/>
      <c r="BJ692" s="154"/>
      <c r="BK692" s="154"/>
      <c r="BL692" s="154"/>
      <c r="BM692" s="154"/>
    </row>
    <row r="693">
      <c r="A693" s="154"/>
      <c r="B693" s="154"/>
      <c r="C693" s="305"/>
      <c r="D693" s="305"/>
      <c r="E693" s="305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  <c r="BI693" s="154"/>
      <c r="BJ693" s="154"/>
      <c r="BK693" s="154"/>
      <c r="BL693" s="154"/>
      <c r="BM693" s="154"/>
    </row>
    <row r="694">
      <c r="A694" s="154"/>
      <c r="B694" s="154"/>
      <c r="C694" s="305"/>
      <c r="D694" s="305"/>
      <c r="E694" s="305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  <c r="BI694" s="154"/>
      <c r="BJ694" s="154"/>
      <c r="BK694" s="154"/>
      <c r="BL694" s="154"/>
      <c r="BM694" s="154"/>
    </row>
    <row r="695">
      <c r="A695" s="154"/>
      <c r="B695" s="154"/>
      <c r="C695" s="305"/>
      <c r="D695" s="305"/>
      <c r="E695" s="305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  <c r="BI695" s="154"/>
      <c r="BJ695" s="154"/>
      <c r="BK695" s="154"/>
      <c r="BL695" s="154"/>
      <c r="BM695" s="154"/>
    </row>
    <row r="696">
      <c r="A696" s="154"/>
      <c r="B696" s="154"/>
      <c r="C696" s="305"/>
      <c r="D696" s="305"/>
      <c r="E696" s="305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  <c r="BI696" s="154"/>
      <c r="BJ696" s="154"/>
      <c r="BK696" s="154"/>
      <c r="BL696" s="154"/>
      <c r="BM696" s="154"/>
    </row>
    <row r="697">
      <c r="A697" s="154"/>
      <c r="B697" s="154"/>
      <c r="C697" s="305"/>
      <c r="D697" s="305"/>
      <c r="E697" s="305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  <c r="BI697" s="154"/>
      <c r="BJ697" s="154"/>
      <c r="BK697" s="154"/>
      <c r="BL697" s="154"/>
      <c r="BM697" s="154"/>
    </row>
    <row r="698">
      <c r="A698" s="154"/>
      <c r="B698" s="154"/>
      <c r="C698" s="305"/>
      <c r="D698" s="305"/>
      <c r="E698" s="305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  <c r="BI698" s="154"/>
      <c r="BJ698" s="154"/>
      <c r="BK698" s="154"/>
      <c r="BL698" s="154"/>
      <c r="BM698" s="154"/>
    </row>
    <row r="699">
      <c r="A699" s="154"/>
      <c r="B699" s="154"/>
      <c r="C699" s="305"/>
      <c r="D699" s="305"/>
      <c r="E699" s="305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  <c r="BI699" s="154"/>
      <c r="BJ699" s="154"/>
      <c r="BK699" s="154"/>
      <c r="BL699" s="154"/>
      <c r="BM699" s="154"/>
    </row>
    <row r="700">
      <c r="A700" s="154"/>
      <c r="B700" s="154"/>
      <c r="C700" s="305"/>
      <c r="D700" s="305"/>
      <c r="E700" s="305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  <c r="BI700" s="154"/>
      <c r="BJ700" s="154"/>
      <c r="BK700" s="154"/>
      <c r="BL700" s="154"/>
      <c r="BM700" s="154"/>
    </row>
    <row r="701">
      <c r="A701" s="154"/>
      <c r="B701" s="154"/>
      <c r="C701" s="305"/>
      <c r="D701" s="305"/>
      <c r="E701" s="305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  <c r="BI701" s="154"/>
      <c r="BJ701" s="154"/>
      <c r="BK701" s="154"/>
      <c r="BL701" s="154"/>
      <c r="BM701" s="154"/>
    </row>
    <row r="702">
      <c r="A702" s="154"/>
      <c r="B702" s="154"/>
      <c r="C702" s="305"/>
      <c r="D702" s="305"/>
      <c r="E702" s="305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  <c r="BI702" s="154"/>
      <c r="BJ702" s="154"/>
      <c r="BK702" s="154"/>
      <c r="BL702" s="154"/>
      <c r="BM702" s="154"/>
    </row>
    <row r="703">
      <c r="A703" s="154"/>
      <c r="B703" s="154"/>
      <c r="C703" s="305"/>
      <c r="D703" s="305"/>
      <c r="E703" s="305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  <c r="BI703" s="154"/>
      <c r="BJ703" s="154"/>
      <c r="BK703" s="154"/>
      <c r="BL703" s="154"/>
      <c r="BM703" s="154"/>
    </row>
    <row r="704">
      <c r="A704" s="154"/>
      <c r="B704" s="154"/>
      <c r="C704" s="305"/>
      <c r="D704" s="305"/>
      <c r="E704" s="305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  <c r="BI704" s="154"/>
      <c r="BJ704" s="154"/>
      <c r="BK704" s="154"/>
      <c r="BL704" s="154"/>
      <c r="BM704" s="154"/>
    </row>
    <row r="705">
      <c r="A705" s="154"/>
      <c r="B705" s="154"/>
      <c r="C705" s="305"/>
      <c r="D705" s="305"/>
      <c r="E705" s="305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  <c r="BI705" s="154"/>
      <c r="BJ705" s="154"/>
      <c r="BK705" s="154"/>
      <c r="BL705" s="154"/>
      <c r="BM705" s="154"/>
    </row>
    <row r="706">
      <c r="A706" s="154"/>
      <c r="B706" s="154"/>
      <c r="C706" s="305"/>
      <c r="D706" s="305"/>
      <c r="E706" s="305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  <c r="BI706" s="154"/>
      <c r="BJ706" s="154"/>
      <c r="BK706" s="154"/>
      <c r="BL706" s="154"/>
      <c r="BM706" s="154"/>
    </row>
    <row r="707">
      <c r="A707" s="154"/>
      <c r="B707" s="154"/>
      <c r="C707" s="305"/>
      <c r="D707" s="305"/>
      <c r="E707" s="305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  <c r="BI707" s="154"/>
      <c r="BJ707" s="154"/>
      <c r="BK707" s="154"/>
      <c r="BL707" s="154"/>
      <c r="BM707" s="154"/>
    </row>
    <row r="708">
      <c r="A708" s="154"/>
      <c r="B708" s="154"/>
      <c r="C708" s="305"/>
      <c r="D708" s="305"/>
      <c r="E708" s="305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  <c r="BI708" s="154"/>
      <c r="BJ708" s="154"/>
      <c r="BK708" s="154"/>
      <c r="BL708" s="154"/>
      <c r="BM708" s="154"/>
    </row>
    <row r="709">
      <c r="A709" s="154"/>
      <c r="B709" s="154"/>
      <c r="C709" s="305"/>
      <c r="D709" s="305"/>
      <c r="E709" s="305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  <c r="BI709" s="154"/>
      <c r="BJ709" s="154"/>
      <c r="BK709" s="154"/>
      <c r="BL709" s="154"/>
      <c r="BM709" s="154"/>
    </row>
    <row r="710">
      <c r="A710" s="154"/>
      <c r="B710" s="154"/>
      <c r="C710" s="305"/>
      <c r="D710" s="305"/>
      <c r="E710" s="305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  <c r="BI710" s="154"/>
      <c r="BJ710" s="154"/>
      <c r="BK710" s="154"/>
      <c r="BL710" s="154"/>
      <c r="BM710" s="154"/>
    </row>
    <row r="711">
      <c r="A711" s="154"/>
      <c r="B711" s="154"/>
      <c r="C711" s="305"/>
      <c r="D711" s="305"/>
      <c r="E711" s="305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  <c r="BI711" s="154"/>
      <c r="BJ711" s="154"/>
      <c r="BK711" s="154"/>
      <c r="BL711" s="154"/>
      <c r="BM711" s="154"/>
    </row>
    <row r="712">
      <c r="A712" s="154"/>
      <c r="B712" s="154"/>
      <c r="C712" s="305"/>
      <c r="D712" s="305"/>
      <c r="E712" s="305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  <c r="BI712" s="154"/>
      <c r="BJ712" s="154"/>
      <c r="BK712" s="154"/>
      <c r="BL712" s="154"/>
      <c r="BM712" s="154"/>
    </row>
    <row r="713">
      <c r="A713" s="154"/>
      <c r="B713" s="154"/>
      <c r="C713" s="305"/>
      <c r="D713" s="305"/>
      <c r="E713" s="305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  <c r="BI713" s="154"/>
      <c r="BJ713" s="154"/>
      <c r="BK713" s="154"/>
      <c r="BL713" s="154"/>
      <c r="BM713" s="154"/>
    </row>
    <row r="714">
      <c r="A714" s="154"/>
      <c r="B714" s="154"/>
      <c r="C714" s="305"/>
      <c r="D714" s="305"/>
      <c r="E714" s="305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  <c r="BI714" s="154"/>
      <c r="BJ714" s="154"/>
      <c r="BK714" s="154"/>
      <c r="BL714" s="154"/>
      <c r="BM714" s="154"/>
    </row>
    <row r="715">
      <c r="A715" s="154"/>
      <c r="B715" s="154"/>
      <c r="C715" s="305"/>
      <c r="D715" s="305"/>
      <c r="E715" s="305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  <c r="BI715" s="154"/>
      <c r="BJ715" s="154"/>
      <c r="BK715" s="154"/>
      <c r="BL715" s="154"/>
      <c r="BM715" s="154"/>
    </row>
    <row r="716">
      <c r="A716" s="154"/>
      <c r="B716" s="154"/>
      <c r="C716" s="305"/>
      <c r="D716" s="305"/>
      <c r="E716" s="305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  <c r="BI716" s="154"/>
      <c r="BJ716" s="154"/>
      <c r="BK716" s="154"/>
      <c r="BL716" s="154"/>
      <c r="BM716" s="154"/>
    </row>
    <row r="717">
      <c r="A717" s="154"/>
      <c r="B717" s="154"/>
      <c r="C717" s="305"/>
      <c r="D717" s="305"/>
      <c r="E717" s="305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  <c r="BI717" s="154"/>
      <c r="BJ717" s="154"/>
      <c r="BK717" s="154"/>
      <c r="BL717" s="154"/>
      <c r="BM717" s="154"/>
    </row>
    <row r="718">
      <c r="A718" s="154"/>
      <c r="B718" s="154"/>
      <c r="C718" s="305"/>
      <c r="D718" s="305"/>
      <c r="E718" s="305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  <c r="BI718" s="154"/>
      <c r="BJ718" s="154"/>
      <c r="BK718" s="154"/>
      <c r="BL718" s="154"/>
      <c r="BM718" s="154"/>
    </row>
    <row r="719">
      <c r="A719" s="154"/>
      <c r="B719" s="154"/>
      <c r="C719" s="305"/>
      <c r="D719" s="305"/>
      <c r="E719" s="305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  <c r="BI719" s="154"/>
      <c r="BJ719" s="154"/>
      <c r="BK719" s="154"/>
      <c r="BL719" s="154"/>
      <c r="BM719" s="154"/>
    </row>
    <row r="720">
      <c r="A720" s="154"/>
      <c r="B720" s="154"/>
      <c r="C720" s="305"/>
      <c r="D720" s="305"/>
      <c r="E720" s="305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  <c r="BI720" s="154"/>
      <c r="BJ720" s="154"/>
      <c r="BK720" s="154"/>
      <c r="BL720" s="154"/>
      <c r="BM720" s="154"/>
    </row>
    <row r="721">
      <c r="A721" s="154"/>
      <c r="B721" s="154"/>
      <c r="C721" s="305"/>
      <c r="D721" s="305"/>
      <c r="E721" s="305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  <c r="BI721" s="154"/>
      <c r="BJ721" s="154"/>
      <c r="BK721" s="154"/>
      <c r="BL721" s="154"/>
      <c r="BM721" s="154"/>
    </row>
    <row r="722">
      <c r="A722" s="154"/>
      <c r="B722" s="154"/>
      <c r="C722" s="305"/>
      <c r="D722" s="305"/>
      <c r="E722" s="305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  <c r="BI722" s="154"/>
      <c r="BJ722" s="154"/>
      <c r="BK722" s="154"/>
      <c r="BL722" s="154"/>
      <c r="BM722" s="154"/>
    </row>
    <row r="723">
      <c r="A723" s="154"/>
      <c r="B723" s="154"/>
      <c r="C723" s="305"/>
      <c r="D723" s="305"/>
      <c r="E723" s="305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  <c r="BI723" s="154"/>
      <c r="BJ723" s="154"/>
      <c r="BK723" s="154"/>
      <c r="BL723" s="154"/>
      <c r="BM723" s="154"/>
    </row>
    <row r="724">
      <c r="A724" s="154"/>
      <c r="B724" s="154"/>
      <c r="C724" s="305"/>
      <c r="D724" s="305"/>
      <c r="E724" s="305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  <c r="BI724" s="154"/>
      <c r="BJ724" s="154"/>
      <c r="BK724" s="154"/>
      <c r="BL724" s="154"/>
      <c r="BM724" s="154"/>
    </row>
    <row r="725">
      <c r="A725" s="154"/>
      <c r="B725" s="154"/>
      <c r="C725" s="305"/>
      <c r="D725" s="305"/>
      <c r="E725" s="305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  <c r="BI725" s="154"/>
      <c r="BJ725" s="154"/>
      <c r="BK725" s="154"/>
      <c r="BL725" s="154"/>
      <c r="BM725" s="154"/>
    </row>
    <row r="726">
      <c r="A726" s="154"/>
      <c r="B726" s="154"/>
      <c r="C726" s="305"/>
      <c r="D726" s="305"/>
      <c r="E726" s="305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  <c r="BI726" s="154"/>
      <c r="BJ726" s="154"/>
      <c r="BK726" s="154"/>
      <c r="BL726" s="154"/>
      <c r="BM726" s="154"/>
    </row>
    <row r="727">
      <c r="A727" s="154"/>
      <c r="B727" s="154"/>
      <c r="C727" s="305"/>
      <c r="D727" s="305"/>
      <c r="E727" s="305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  <c r="BI727" s="154"/>
      <c r="BJ727" s="154"/>
      <c r="BK727" s="154"/>
      <c r="BL727" s="154"/>
      <c r="BM727" s="154"/>
    </row>
    <row r="728">
      <c r="A728" s="154"/>
      <c r="B728" s="154"/>
      <c r="C728" s="305"/>
      <c r="D728" s="305"/>
      <c r="E728" s="305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  <c r="BI728" s="154"/>
      <c r="BJ728" s="154"/>
      <c r="BK728" s="154"/>
      <c r="BL728" s="154"/>
      <c r="BM728" s="154"/>
    </row>
    <row r="729">
      <c r="A729" s="154"/>
      <c r="B729" s="154"/>
      <c r="C729" s="305"/>
      <c r="D729" s="305"/>
      <c r="E729" s="305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  <c r="BI729" s="154"/>
      <c r="BJ729" s="154"/>
      <c r="BK729" s="154"/>
      <c r="BL729" s="154"/>
      <c r="BM729" s="154"/>
    </row>
    <row r="730">
      <c r="A730" s="154"/>
      <c r="B730" s="154"/>
      <c r="C730" s="305"/>
      <c r="D730" s="305"/>
      <c r="E730" s="305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  <c r="BI730" s="154"/>
      <c r="BJ730" s="154"/>
      <c r="BK730" s="154"/>
      <c r="BL730" s="154"/>
      <c r="BM730" s="154"/>
    </row>
    <row r="731">
      <c r="A731" s="154"/>
      <c r="B731" s="154"/>
      <c r="C731" s="305"/>
      <c r="D731" s="305"/>
      <c r="E731" s="305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  <c r="BI731" s="154"/>
      <c r="BJ731" s="154"/>
      <c r="BK731" s="154"/>
      <c r="BL731" s="154"/>
      <c r="BM731" s="154"/>
    </row>
    <row r="732">
      <c r="A732" s="154"/>
      <c r="B732" s="154"/>
      <c r="C732" s="305"/>
      <c r="D732" s="305"/>
      <c r="E732" s="305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  <c r="BI732" s="154"/>
      <c r="BJ732" s="154"/>
      <c r="BK732" s="154"/>
      <c r="BL732" s="154"/>
      <c r="BM732" s="154"/>
    </row>
    <row r="733">
      <c r="A733" s="154"/>
      <c r="B733" s="154"/>
      <c r="C733" s="305"/>
      <c r="D733" s="305"/>
      <c r="E733" s="305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  <c r="BI733" s="154"/>
      <c r="BJ733" s="154"/>
      <c r="BK733" s="154"/>
      <c r="BL733" s="154"/>
      <c r="BM733" s="154"/>
    </row>
    <row r="734">
      <c r="A734" s="154"/>
      <c r="B734" s="154"/>
      <c r="C734" s="305"/>
      <c r="D734" s="305"/>
      <c r="E734" s="305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  <c r="BI734" s="154"/>
      <c r="BJ734" s="154"/>
      <c r="BK734" s="154"/>
      <c r="BL734" s="154"/>
      <c r="BM734" s="154"/>
    </row>
    <row r="735">
      <c r="A735" s="154"/>
      <c r="B735" s="154"/>
      <c r="C735" s="305"/>
      <c r="D735" s="305"/>
      <c r="E735" s="305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  <c r="BI735" s="154"/>
      <c r="BJ735" s="154"/>
      <c r="BK735" s="154"/>
      <c r="BL735" s="154"/>
      <c r="BM735" s="154"/>
    </row>
    <row r="736">
      <c r="A736" s="154"/>
      <c r="B736" s="154"/>
      <c r="C736" s="305"/>
      <c r="D736" s="305"/>
      <c r="E736" s="305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  <c r="BI736" s="154"/>
      <c r="BJ736" s="154"/>
      <c r="BK736" s="154"/>
      <c r="BL736" s="154"/>
      <c r="BM736" s="154"/>
    </row>
    <row r="737">
      <c r="A737" s="154"/>
      <c r="B737" s="154"/>
      <c r="C737" s="305"/>
      <c r="D737" s="305"/>
      <c r="E737" s="305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  <c r="BI737" s="154"/>
      <c r="BJ737" s="154"/>
      <c r="BK737" s="154"/>
      <c r="BL737" s="154"/>
      <c r="BM737" s="154"/>
    </row>
    <row r="738">
      <c r="A738" s="154"/>
      <c r="B738" s="154"/>
      <c r="C738" s="305"/>
      <c r="D738" s="305"/>
      <c r="E738" s="305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  <c r="BI738" s="154"/>
      <c r="BJ738" s="154"/>
      <c r="BK738" s="154"/>
      <c r="BL738" s="154"/>
      <c r="BM738" s="154"/>
    </row>
    <row r="739">
      <c r="A739" s="154"/>
      <c r="B739" s="154"/>
      <c r="C739" s="305"/>
      <c r="D739" s="305"/>
      <c r="E739" s="305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  <c r="BI739" s="154"/>
      <c r="BJ739" s="154"/>
      <c r="BK739" s="154"/>
      <c r="BL739" s="154"/>
      <c r="BM739" s="154"/>
    </row>
    <row r="740">
      <c r="A740" s="154"/>
      <c r="B740" s="154"/>
      <c r="C740" s="305"/>
      <c r="D740" s="305"/>
      <c r="E740" s="305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  <c r="BI740" s="154"/>
      <c r="BJ740" s="154"/>
      <c r="BK740" s="154"/>
      <c r="BL740" s="154"/>
      <c r="BM740" s="154"/>
    </row>
    <row r="741">
      <c r="A741" s="154"/>
      <c r="B741" s="154"/>
      <c r="C741" s="305"/>
      <c r="D741" s="305"/>
      <c r="E741" s="305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  <c r="BI741" s="154"/>
      <c r="BJ741" s="154"/>
      <c r="BK741" s="154"/>
      <c r="BL741" s="154"/>
      <c r="BM741" s="154"/>
    </row>
    <row r="742">
      <c r="A742" s="154"/>
      <c r="B742" s="154"/>
      <c r="C742" s="305"/>
      <c r="D742" s="305"/>
      <c r="E742" s="305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  <c r="BI742" s="154"/>
      <c r="BJ742" s="154"/>
      <c r="BK742" s="154"/>
      <c r="BL742" s="154"/>
      <c r="BM742" s="154"/>
    </row>
    <row r="743">
      <c r="A743" s="154"/>
      <c r="B743" s="154"/>
      <c r="C743" s="305"/>
      <c r="D743" s="305"/>
      <c r="E743" s="305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  <c r="BI743" s="154"/>
      <c r="BJ743" s="154"/>
      <c r="BK743" s="154"/>
      <c r="BL743" s="154"/>
      <c r="BM743" s="154"/>
    </row>
    <row r="744">
      <c r="A744" s="154"/>
      <c r="B744" s="154"/>
      <c r="C744" s="305"/>
      <c r="D744" s="305"/>
      <c r="E744" s="305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  <c r="BI744" s="154"/>
      <c r="BJ744" s="154"/>
      <c r="BK744" s="154"/>
      <c r="BL744" s="154"/>
      <c r="BM744" s="154"/>
    </row>
    <row r="745">
      <c r="A745" s="154"/>
      <c r="B745" s="154"/>
      <c r="C745" s="305"/>
      <c r="D745" s="305"/>
      <c r="E745" s="305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  <c r="BI745" s="154"/>
      <c r="BJ745" s="154"/>
      <c r="BK745" s="154"/>
      <c r="BL745" s="154"/>
      <c r="BM745" s="154"/>
    </row>
    <row r="746">
      <c r="A746" s="154"/>
      <c r="B746" s="154"/>
      <c r="C746" s="305"/>
      <c r="D746" s="305"/>
      <c r="E746" s="305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  <c r="BI746" s="154"/>
      <c r="BJ746" s="154"/>
      <c r="BK746" s="154"/>
      <c r="BL746" s="154"/>
      <c r="BM746" s="154"/>
    </row>
    <row r="747">
      <c r="A747" s="154"/>
      <c r="B747" s="154"/>
      <c r="C747" s="305"/>
      <c r="D747" s="305"/>
      <c r="E747" s="305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  <c r="BI747" s="154"/>
      <c r="BJ747" s="154"/>
      <c r="BK747" s="154"/>
      <c r="BL747" s="154"/>
      <c r="BM747" s="154"/>
    </row>
    <row r="748">
      <c r="A748" s="154"/>
      <c r="B748" s="154"/>
      <c r="C748" s="305"/>
      <c r="D748" s="305"/>
      <c r="E748" s="305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  <c r="BI748" s="154"/>
      <c r="BJ748" s="154"/>
      <c r="BK748" s="154"/>
      <c r="BL748" s="154"/>
      <c r="BM748" s="154"/>
    </row>
    <row r="749">
      <c r="A749" s="154"/>
      <c r="B749" s="154"/>
      <c r="C749" s="305"/>
      <c r="D749" s="305"/>
      <c r="E749" s="305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  <c r="BI749" s="154"/>
      <c r="BJ749" s="154"/>
      <c r="BK749" s="154"/>
      <c r="BL749" s="154"/>
      <c r="BM749" s="154"/>
    </row>
    <row r="750">
      <c r="A750" s="154"/>
      <c r="B750" s="154"/>
      <c r="C750" s="305"/>
      <c r="D750" s="305"/>
      <c r="E750" s="305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  <c r="BI750" s="154"/>
      <c r="BJ750" s="154"/>
      <c r="BK750" s="154"/>
      <c r="BL750" s="154"/>
      <c r="BM750" s="154"/>
    </row>
    <row r="751">
      <c r="A751" s="154"/>
      <c r="B751" s="154"/>
      <c r="C751" s="305"/>
      <c r="D751" s="305"/>
      <c r="E751" s="305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  <c r="BI751" s="154"/>
      <c r="BJ751" s="154"/>
      <c r="BK751" s="154"/>
      <c r="BL751" s="154"/>
      <c r="BM751" s="154"/>
    </row>
    <row r="752">
      <c r="A752" s="154"/>
      <c r="B752" s="154"/>
      <c r="C752" s="305"/>
      <c r="D752" s="305"/>
      <c r="E752" s="305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  <c r="BI752" s="154"/>
      <c r="BJ752" s="154"/>
      <c r="BK752" s="154"/>
      <c r="BL752" s="154"/>
      <c r="BM752" s="154"/>
    </row>
    <row r="753">
      <c r="A753" s="154"/>
      <c r="B753" s="154"/>
      <c r="C753" s="305"/>
      <c r="D753" s="305"/>
      <c r="E753" s="305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  <c r="BI753" s="154"/>
      <c r="BJ753" s="154"/>
      <c r="BK753" s="154"/>
      <c r="BL753" s="154"/>
      <c r="BM753" s="154"/>
    </row>
    <row r="754">
      <c r="A754" s="154"/>
      <c r="B754" s="154"/>
      <c r="C754" s="305"/>
      <c r="D754" s="305"/>
      <c r="E754" s="305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  <c r="BI754" s="154"/>
      <c r="BJ754" s="154"/>
      <c r="BK754" s="154"/>
      <c r="BL754" s="154"/>
      <c r="BM754" s="154"/>
    </row>
    <row r="755">
      <c r="A755" s="154"/>
      <c r="B755" s="154"/>
      <c r="C755" s="305"/>
      <c r="D755" s="305"/>
      <c r="E755" s="305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  <c r="BI755" s="154"/>
      <c r="BJ755" s="154"/>
      <c r="BK755" s="154"/>
      <c r="BL755" s="154"/>
      <c r="BM755" s="154"/>
    </row>
    <row r="756">
      <c r="A756" s="154"/>
      <c r="B756" s="154"/>
      <c r="C756" s="305"/>
      <c r="D756" s="305"/>
      <c r="E756" s="305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  <c r="BI756" s="154"/>
      <c r="BJ756" s="154"/>
      <c r="BK756" s="154"/>
      <c r="BL756" s="154"/>
      <c r="BM756" s="154"/>
    </row>
    <row r="757">
      <c r="A757" s="154"/>
      <c r="B757" s="154"/>
      <c r="C757" s="305"/>
      <c r="D757" s="305"/>
      <c r="E757" s="305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  <c r="BI757" s="154"/>
      <c r="BJ757" s="154"/>
      <c r="BK757" s="154"/>
      <c r="BL757" s="154"/>
      <c r="BM757" s="154"/>
    </row>
    <row r="758">
      <c r="A758" s="154"/>
      <c r="B758" s="154"/>
      <c r="C758" s="305"/>
      <c r="D758" s="305"/>
      <c r="E758" s="305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  <c r="BI758" s="154"/>
      <c r="BJ758" s="154"/>
      <c r="BK758" s="154"/>
      <c r="BL758" s="154"/>
      <c r="BM758" s="154"/>
    </row>
    <row r="759">
      <c r="A759" s="154"/>
      <c r="B759" s="154"/>
      <c r="C759" s="305"/>
      <c r="D759" s="305"/>
      <c r="E759" s="305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  <c r="BI759" s="154"/>
      <c r="BJ759" s="154"/>
      <c r="BK759" s="154"/>
      <c r="BL759" s="154"/>
      <c r="BM759" s="154"/>
    </row>
    <row r="760">
      <c r="A760" s="154"/>
      <c r="B760" s="154"/>
      <c r="C760" s="305"/>
      <c r="D760" s="305"/>
      <c r="E760" s="305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  <c r="BI760" s="154"/>
      <c r="BJ760" s="154"/>
      <c r="BK760" s="154"/>
      <c r="BL760" s="154"/>
      <c r="BM760" s="154"/>
    </row>
    <row r="761">
      <c r="A761" s="154"/>
      <c r="B761" s="154"/>
      <c r="C761" s="305"/>
      <c r="D761" s="305"/>
      <c r="E761" s="305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  <c r="BI761" s="154"/>
      <c r="BJ761" s="154"/>
      <c r="BK761" s="154"/>
      <c r="BL761" s="154"/>
      <c r="BM761" s="154"/>
    </row>
    <row r="762">
      <c r="A762" s="154"/>
      <c r="B762" s="154"/>
      <c r="C762" s="305"/>
      <c r="D762" s="305"/>
      <c r="E762" s="305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  <c r="BI762" s="154"/>
      <c r="BJ762" s="154"/>
      <c r="BK762" s="154"/>
      <c r="BL762" s="154"/>
      <c r="BM762" s="154"/>
    </row>
    <row r="763">
      <c r="A763" s="154"/>
      <c r="B763" s="154"/>
      <c r="C763" s="305"/>
      <c r="D763" s="305"/>
      <c r="E763" s="305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  <c r="BI763" s="154"/>
      <c r="BJ763" s="154"/>
      <c r="BK763" s="154"/>
      <c r="BL763" s="154"/>
      <c r="BM763" s="154"/>
    </row>
    <row r="764">
      <c r="A764" s="154"/>
      <c r="B764" s="154"/>
      <c r="C764" s="305"/>
      <c r="D764" s="305"/>
      <c r="E764" s="305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  <c r="BI764" s="154"/>
      <c r="BJ764" s="154"/>
      <c r="BK764" s="154"/>
      <c r="BL764" s="154"/>
      <c r="BM764" s="154"/>
    </row>
    <row r="765">
      <c r="A765" s="154"/>
      <c r="B765" s="154"/>
      <c r="C765" s="305"/>
      <c r="D765" s="305"/>
      <c r="E765" s="305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  <c r="BI765" s="154"/>
      <c r="BJ765" s="154"/>
      <c r="BK765" s="154"/>
      <c r="BL765" s="154"/>
      <c r="BM765" s="154"/>
    </row>
    <row r="766">
      <c r="A766" s="154"/>
      <c r="B766" s="154"/>
      <c r="C766" s="305"/>
      <c r="D766" s="305"/>
      <c r="E766" s="305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  <c r="BI766" s="154"/>
      <c r="BJ766" s="154"/>
      <c r="BK766" s="154"/>
      <c r="BL766" s="154"/>
      <c r="BM766" s="154"/>
    </row>
    <row r="767">
      <c r="A767" s="154"/>
      <c r="B767" s="154"/>
      <c r="C767" s="305"/>
      <c r="D767" s="305"/>
      <c r="E767" s="305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  <c r="BI767" s="154"/>
      <c r="BJ767" s="154"/>
      <c r="BK767" s="154"/>
      <c r="BL767" s="154"/>
      <c r="BM767" s="154"/>
    </row>
    <row r="768">
      <c r="A768" s="154"/>
      <c r="B768" s="154"/>
      <c r="C768" s="305"/>
      <c r="D768" s="305"/>
      <c r="E768" s="305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  <c r="BI768" s="154"/>
      <c r="BJ768" s="154"/>
      <c r="BK768" s="154"/>
      <c r="BL768" s="154"/>
      <c r="BM768" s="154"/>
    </row>
    <row r="769">
      <c r="A769" s="154"/>
      <c r="B769" s="154"/>
      <c r="C769" s="305"/>
      <c r="D769" s="305"/>
      <c r="E769" s="305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  <c r="BI769" s="154"/>
      <c r="BJ769" s="154"/>
      <c r="BK769" s="154"/>
      <c r="BL769" s="154"/>
      <c r="BM769" s="154"/>
    </row>
    <row r="770">
      <c r="A770" s="154"/>
      <c r="B770" s="154"/>
      <c r="C770" s="305"/>
      <c r="D770" s="305"/>
      <c r="E770" s="305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  <c r="BI770" s="154"/>
      <c r="BJ770" s="154"/>
      <c r="BK770" s="154"/>
      <c r="BL770" s="154"/>
      <c r="BM770" s="154"/>
    </row>
    <row r="771">
      <c r="A771" s="154"/>
      <c r="B771" s="154"/>
      <c r="C771" s="305"/>
      <c r="D771" s="305"/>
      <c r="E771" s="305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  <c r="BI771" s="154"/>
      <c r="BJ771" s="154"/>
      <c r="BK771" s="154"/>
      <c r="BL771" s="154"/>
      <c r="BM771" s="154"/>
    </row>
    <row r="772">
      <c r="A772" s="154"/>
      <c r="B772" s="154"/>
      <c r="C772" s="305"/>
      <c r="D772" s="305"/>
      <c r="E772" s="305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  <c r="BI772" s="154"/>
      <c r="BJ772" s="154"/>
      <c r="BK772" s="154"/>
      <c r="BL772" s="154"/>
      <c r="BM772" s="154"/>
    </row>
    <row r="773">
      <c r="A773" s="154"/>
      <c r="B773" s="154"/>
      <c r="C773" s="305"/>
      <c r="D773" s="305"/>
      <c r="E773" s="305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  <c r="BI773" s="154"/>
      <c r="BJ773" s="154"/>
      <c r="BK773" s="154"/>
      <c r="BL773" s="154"/>
      <c r="BM773" s="154"/>
    </row>
    <row r="774">
      <c r="A774" s="154"/>
      <c r="B774" s="154"/>
      <c r="C774" s="305"/>
      <c r="D774" s="305"/>
      <c r="E774" s="305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  <c r="BI774" s="154"/>
      <c r="BJ774" s="154"/>
      <c r="BK774" s="154"/>
      <c r="BL774" s="154"/>
      <c r="BM774" s="154"/>
    </row>
    <row r="775">
      <c r="A775" s="154"/>
      <c r="B775" s="154"/>
      <c r="C775" s="305"/>
      <c r="D775" s="305"/>
      <c r="E775" s="305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  <c r="BI775" s="154"/>
      <c r="BJ775" s="154"/>
      <c r="BK775" s="154"/>
      <c r="BL775" s="154"/>
      <c r="BM775" s="154"/>
    </row>
    <row r="776">
      <c r="A776" s="154"/>
      <c r="B776" s="154"/>
      <c r="C776" s="305"/>
      <c r="D776" s="305"/>
      <c r="E776" s="305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  <c r="BI776" s="154"/>
      <c r="BJ776" s="154"/>
      <c r="BK776" s="154"/>
      <c r="BL776" s="154"/>
      <c r="BM776" s="154"/>
    </row>
    <row r="777">
      <c r="A777" s="154"/>
      <c r="B777" s="154"/>
      <c r="C777" s="305"/>
      <c r="D777" s="305"/>
      <c r="E777" s="305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  <c r="BI777" s="154"/>
      <c r="BJ777" s="154"/>
      <c r="BK777" s="154"/>
      <c r="BL777" s="154"/>
      <c r="BM777" s="154"/>
    </row>
    <row r="778">
      <c r="A778" s="154"/>
      <c r="B778" s="154"/>
      <c r="C778" s="305"/>
      <c r="D778" s="305"/>
      <c r="E778" s="305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  <c r="BI778" s="154"/>
      <c r="BJ778" s="154"/>
      <c r="BK778" s="154"/>
      <c r="BL778" s="154"/>
      <c r="BM778" s="154"/>
    </row>
    <row r="779">
      <c r="A779" s="154"/>
      <c r="B779" s="154"/>
      <c r="C779" s="305"/>
      <c r="D779" s="305"/>
      <c r="E779" s="305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  <c r="BI779" s="154"/>
      <c r="BJ779" s="154"/>
      <c r="BK779" s="154"/>
      <c r="BL779" s="154"/>
      <c r="BM779" s="154"/>
    </row>
    <row r="780">
      <c r="A780" s="154"/>
      <c r="B780" s="154"/>
      <c r="C780" s="305"/>
      <c r="D780" s="305"/>
      <c r="E780" s="305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  <c r="BI780" s="154"/>
      <c r="BJ780" s="154"/>
      <c r="BK780" s="154"/>
      <c r="BL780" s="154"/>
      <c r="BM780" s="154"/>
    </row>
    <row r="781">
      <c r="A781" s="154"/>
      <c r="B781" s="154"/>
      <c r="C781" s="305"/>
      <c r="D781" s="305"/>
      <c r="E781" s="305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  <c r="BI781" s="154"/>
      <c r="BJ781" s="154"/>
      <c r="BK781" s="154"/>
      <c r="BL781" s="154"/>
      <c r="BM781" s="154"/>
    </row>
    <row r="782">
      <c r="A782" s="154"/>
      <c r="B782" s="154"/>
      <c r="C782" s="305"/>
      <c r="D782" s="305"/>
      <c r="E782" s="305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  <c r="BI782" s="154"/>
      <c r="BJ782" s="154"/>
      <c r="BK782" s="154"/>
      <c r="BL782" s="154"/>
      <c r="BM782" s="154"/>
    </row>
    <row r="783">
      <c r="A783" s="154"/>
      <c r="B783" s="154"/>
      <c r="C783" s="305"/>
      <c r="D783" s="305"/>
      <c r="E783" s="305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  <c r="BI783" s="154"/>
      <c r="BJ783" s="154"/>
      <c r="BK783" s="154"/>
      <c r="BL783" s="154"/>
      <c r="BM783" s="154"/>
    </row>
    <row r="784">
      <c r="A784" s="154"/>
      <c r="B784" s="154"/>
      <c r="C784" s="305"/>
      <c r="D784" s="305"/>
      <c r="E784" s="305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  <c r="BI784" s="154"/>
      <c r="BJ784" s="154"/>
      <c r="BK784" s="154"/>
      <c r="BL784" s="154"/>
      <c r="BM784" s="154"/>
    </row>
    <row r="785">
      <c r="A785" s="154"/>
      <c r="B785" s="154"/>
      <c r="C785" s="305"/>
      <c r="D785" s="305"/>
      <c r="E785" s="305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  <c r="BI785" s="154"/>
      <c r="BJ785" s="154"/>
      <c r="BK785" s="154"/>
      <c r="BL785" s="154"/>
      <c r="BM785" s="154"/>
    </row>
    <row r="786">
      <c r="A786" s="154"/>
      <c r="B786" s="154"/>
      <c r="C786" s="305"/>
      <c r="D786" s="305"/>
      <c r="E786" s="305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  <c r="BI786" s="154"/>
      <c r="BJ786" s="154"/>
      <c r="BK786" s="154"/>
      <c r="BL786" s="154"/>
      <c r="BM786" s="154"/>
    </row>
    <row r="787">
      <c r="A787" s="154"/>
      <c r="B787" s="154"/>
      <c r="C787" s="305"/>
      <c r="D787" s="305"/>
      <c r="E787" s="305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  <c r="BI787" s="154"/>
      <c r="BJ787" s="154"/>
      <c r="BK787" s="154"/>
      <c r="BL787" s="154"/>
      <c r="BM787" s="154"/>
    </row>
    <row r="788">
      <c r="A788" s="154"/>
      <c r="B788" s="154"/>
      <c r="C788" s="305"/>
      <c r="D788" s="305"/>
      <c r="E788" s="305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  <c r="BI788" s="154"/>
      <c r="BJ788" s="154"/>
      <c r="BK788" s="154"/>
      <c r="BL788" s="154"/>
      <c r="BM788" s="154"/>
    </row>
    <row r="789">
      <c r="A789" s="154"/>
      <c r="B789" s="154"/>
      <c r="C789" s="305"/>
      <c r="D789" s="305"/>
      <c r="E789" s="305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  <c r="BI789" s="154"/>
      <c r="BJ789" s="154"/>
      <c r="BK789" s="154"/>
      <c r="BL789" s="154"/>
      <c r="BM789" s="154"/>
    </row>
    <row r="790">
      <c r="A790" s="154"/>
      <c r="B790" s="154"/>
      <c r="C790" s="305"/>
      <c r="D790" s="305"/>
      <c r="E790" s="305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  <c r="BI790" s="154"/>
      <c r="BJ790" s="154"/>
      <c r="BK790" s="154"/>
      <c r="BL790" s="154"/>
      <c r="BM790" s="154"/>
    </row>
    <row r="791">
      <c r="A791" s="154"/>
      <c r="B791" s="154"/>
      <c r="C791" s="305"/>
      <c r="D791" s="305"/>
      <c r="E791" s="305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  <c r="BI791" s="154"/>
      <c r="BJ791" s="154"/>
      <c r="BK791" s="154"/>
      <c r="BL791" s="154"/>
      <c r="BM791" s="154"/>
    </row>
    <row r="792">
      <c r="A792" s="154"/>
      <c r="B792" s="154"/>
      <c r="C792" s="305"/>
      <c r="D792" s="305"/>
      <c r="E792" s="305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  <c r="BI792" s="154"/>
      <c r="BJ792" s="154"/>
      <c r="BK792" s="154"/>
      <c r="BL792" s="154"/>
      <c r="BM792" s="154"/>
    </row>
    <row r="793">
      <c r="A793" s="154"/>
      <c r="B793" s="154"/>
      <c r="C793" s="305"/>
      <c r="D793" s="305"/>
      <c r="E793" s="305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  <c r="BI793" s="154"/>
      <c r="BJ793" s="154"/>
      <c r="BK793" s="154"/>
      <c r="BL793" s="154"/>
      <c r="BM793" s="154"/>
    </row>
    <row r="794">
      <c r="A794" s="154"/>
      <c r="B794" s="154"/>
      <c r="C794" s="305"/>
      <c r="D794" s="305"/>
      <c r="E794" s="305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  <c r="BI794" s="154"/>
      <c r="BJ794" s="154"/>
      <c r="BK794" s="154"/>
      <c r="BL794" s="154"/>
      <c r="BM794" s="154"/>
    </row>
    <row r="795">
      <c r="A795" s="154"/>
      <c r="B795" s="154"/>
      <c r="C795" s="305"/>
      <c r="D795" s="305"/>
      <c r="E795" s="305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  <c r="BI795" s="154"/>
      <c r="BJ795" s="154"/>
      <c r="BK795" s="154"/>
      <c r="BL795" s="154"/>
      <c r="BM795" s="154"/>
    </row>
    <row r="796">
      <c r="A796" s="154"/>
      <c r="B796" s="154"/>
      <c r="C796" s="305"/>
      <c r="D796" s="305"/>
      <c r="E796" s="305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  <c r="BI796" s="154"/>
      <c r="BJ796" s="154"/>
      <c r="BK796" s="154"/>
      <c r="BL796" s="154"/>
      <c r="BM796" s="154"/>
    </row>
    <row r="797">
      <c r="A797" s="154"/>
      <c r="B797" s="154"/>
      <c r="C797" s="305"/>
      <c r="D797" s="305"/>
      <c r="E797" s="305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  <c r="BI797" s="154"/>
      <c r="BJ797" s="154"/>
      <c r="BK797" s="154"/>
      <c r="BL797" s="154"/>
      <c r="BM797" s="154"/>
    </row>
    <row r="798">
      <c r="A798" s="154"/>
      <c r="B798" s="154"/>
      <c r="C798" s="305"/>
      <c r="D798" s="305"/>
      <c r="E798" s="305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  <c r="BI798" s="154"/>
      <c r="BJ798" s="154"/>
      <c r="BK798" s="154"/>
      <c r="BL798" s="154"/>
      <c r="BM798" s="154"/>
    </row>
    <row r="799">
      <c r="A799" s="154"/>
      <c r="B799" s="154"/>
      <c r="C799" s="305"/>
      <c r="D799" s="305"/>
      <c r="E799" s="305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  <c r="BI799" s="154"/>
      <c r="BJ799" s="154"/>
      <c r="BK799" s="154"/>
      <c r="BL799" s="154"/>
      <c r="BM799" s="154"/>
    </row>
    <row r="800">
      <c r="A800" s="154"/>
      <c r="B800" s="154"/>
      <c r="C800" s="305"/>
      <c r="D800" s="305"/>
      <c r="E800" s="305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  <c r="BI800" s="154"/>
      <c r="BJ800" s="154"/>
      <c r="BK800" s="154"/>
      <c r="BL800" s="154"/>
      <c r="BM800" s="154"/>
    </row>
    <row r="801">
      <c r="A801" s="154"/>
      <c r="B801" s="154"/>
      <c r="C801" s="305"/>
      <c r="D801" s="305"/>
      <c r="E801" s="305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  <c r="BI801" s="154"/>
      <c r="BJ801" s="154"/>
      <c r="BK801" s="154"/>
      <c r="BL801" s="154"/>
      <c r="BM801" s="154"/>
    </row>
    <row r="802">
      <c r="A802" s="154"/>
      <c r="B802" s="154"/>
      <c r="C802" s="305"/>
      <c r="D802" s="305"/>
      <c r="E802" s="305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  <c r="BI802" s="154"/>
      <c r="BJ802" s="154"/>
      <c r="BK802" s="154"/>
      <c r="BL802" s="154"/>
      <c r="BM802" s="154"/>
    </row>
    <row r="803">
      <c r="A803" s="154"/>
      <c r="B803" s="154"/>
      <c r="C803" s="305"/>
      <c r="D803" s="305"/>
      <c r="E803" s="305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  <c r="BI803" s="154"/>
      <c r="BJ803" s="154"/>
      <c r="BK803" s="154"/>
      <c r="BL803" s="154"/>
      <c r="BM803" s="154"/>
    </row>
    <row r="804">
      <c r="A804" s="154"/>
      <c r="B804" s="154"/>
      <c r="C804" s="305"/>
      <c r="D804" s="305"/>
      <c r="E804" s="305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  <c r="BI804" s="154"/>
      <c r="BJ804" s="154"/>
      <c r="BK804" s="154"/>
      <c r="BL804" s="154"/>
      <c r="BM804" s="154"/>
    </row>
    <row r="805">
      <c r="A805" s="154"/>
      <c r="B805" s="154"/>
      <c r="C805" s="305"/>
      <c r="D805" s="305"/>
      <c r="E805" s="305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  <c r="BI805" s="154"/>
      <c r="BJ805" s="154"/>
      <c r="BK805" s="154"/>
      <c r="BL805" s="154"/>
      <c r="BM805" s="154"/>
    </row>
    <row r="806">
      <c r="A806" s="154"/>
      <c r="B806" s="154"/>
      <c r="C806" s="305"/>
      <c r="D806" s="305"/>
      <c r="E806" s="305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  <c r="BI806" s="154"/>
      <c r="BJ806" s="154"/>
      <c r="BK806" s="154"/>
      <c r="BL806" s="154"/>
      <c r="BM806" s="154"/>
    </row>
    <row r="807">
      <c r="A807" s="154"/>
      <c r="B807" s="154"/>
      <c r="C807" s="305"/>
      <c r="D807" s="305"/>
      <c r="E807" s="305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  <c r="BI807" s="154"/>
      <c r="BJ807" s="154"/>
      <c r="BK807" s="154"/>
      <c r="BL807" s="154"/>
      <c r="BM807" s="154"/>
    </row>
    <row r="808">
      <c r="A808" s="154"/>
      <c r="B808" s="154"/>
      <c r="C808" s="305"/>
      <c r="D808" s="305"/>
      <c r="E808" s="305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  <c r="BI808" s="154"/>
      <c r="BJ808" s="154"/>
      <c r="BK808" s="154"/>
      <c r="BL808" s="154"/>
      <c r="BM808" s="154"/>
    </row>
    <row r="809">
      <c r="A809" s="154"/>
      <c r="B809" s="154"/>
      <c r="C809" s="305"/>
      <c r="D809" s="305"/>
      <c r="E809" s="305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  <c r="BI809" s="154"/>
      <c r="BJ809" s="154"/>
      <c r="BK809" s="154"/>
      <c r="BL809" s="154"/>
      <c r="BM809" s="154"/>
    </row>
    <row r="810">
      <c r="A810" s="154"/>
      <c r="B810" s="154"/>
      <c r="C810" s="305"/>
      <c r="D810" s="305"/>
      <c r="E810" s="305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  <c r="BI810" s="154"/>
      <c r="BJ810" s="154"/>
      <c r="BK810" s="154"/>
      <c r="BL810" s="154"/>
      <c r="BM810" s="154"/>
    </row>
    <row r="811">
      <c r="A811" s="154"/>
      <c r="B811" s="154"/>
      <c r="C811" s="305"/>
      <c r="D811" s="305"/>
      <c r="E811" s="305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  <c r="BI811" s="154"/>
      <c r="BJ811" s="154"/>
      <c r="BK811" s="154"/>
      <c r="BL811" s="154"/>
      <c r="BM811" s="154"/>
    </row>
    <row r="812">
      <c r="A812" s="154"/>
      <c r="B812" s="154"/>
      <c r="C812" s="305"/>
      <c r="D812" s="305"/>
      <c r="E812" s="305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  <c r="BI812" s="154"/>
      <c r="BJ812" s="154"/>
      <c r="BK812" s="154"/>
      <c r="BL812" s="154"/>
      <c r="BM812" s="154"/>
    </row>
    <row r="813">
      <c r="A813" s="154"/>
      <c r="B813" s="154"/>
      <c r="C813" s="305"/>
      <c r="D813" s="305"/>
      <c r="E813" s="305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  <c r="BI813" s="154"/>
      <c r="BJ813" s="154"/>
      <c r="BK813" s="154"/>
      <c r="BL813" s="154"/>
      <c r="BM813" s="154"/>
    </row>
    <row r="814">
      <c r="A814" s="154"/>
      <c r="B814" s="154"/>
      <c r="C814" s="305"/>
      <c r="D814" s="305"/>
      <c r="E814" s="305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  <c r="BI814" s="154"/>
      <c r="BJ814" s="154"/>
      <c r="BK814" s="154"/>
      <c r="BL814" s="154"/>
      <c r="BM814" s="154"/>
    </row>
    <row r="815">
      <c r="A815" s="154"/>
      <c r="B815" s="154"/>
      <c r="C815" s="305"/>
      <c r="D815" s="305"/>
      <c r="E815" s="305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  <c r="BI815" s="154"/>
      <c r="BJ815" s="154"/>
      <c r="BK815" s="154"/>
      <c r="BL815" s="154"/>
      <c r="BM815" s="154"/>
    </row>
    <row r="816">
      <c r="A816" s="154"/>
      <c r="B816" s="154"/>
      <c r="C816" s="305"/>
      <c r="D816" s="305"/>
      <c r="E816" s="305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  <c r="BI816" s="154"/>
      <c r="BJ816" s="154"/>
      <c r="BK816" s="154"/>
      <c r="BL816" s="154"/>
      <c r="BM816" s="154"/>
    </row>
    <row r="817">
      <c r="A817" s="154"/>
      <c r="B817" s="154"/>
      <c r="C817" s="305"/>
      <c r="D817" s="305"/>
      <c r="E817" s="305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  <c r="BI817" s="154"/>
      <c r="BJ817" s="154"/>
      <c r="BK817" s="154"/>
      <c r="BL817" s="154"/>
      <c r="BM817" s="154"/>
    </row>
    <row r="818">
      <c r="A818" s="154"/>
      <c r="B818" s="154"/>
      <c r="C818" s="305"/>
      <c r="D818" s="305"/>
      <c r="E818" s="305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  <c r="BI818" s="154"/>
      <c r="BJ818" s="154"/>
      <c r="BK818" s="154"/>
      <c r="BL818" s="154"/>
      <c r="BM818" s="154"/>
    </row>
    <row r="819">
      <c r="A819" s="154"/>
      <c r="B819" s="154"/>
      <c r="C819" s="305"/>
      <c r="D819" s="305"/>
      <c r="E819" s="305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  <c r="BI819" s="154"/>
      <c r="BJ819" s="154"/>
      <c r="BK819" s="154"/>
      <c r="BL819" s="154"/>
      <c r="BM819" s="154"/>
    </row>
    <row r="820">
      <c r="A820" s="154"/>
      <c r="B820" s="154"/>
      <c r="C820" s="305"/>
      <c r="D820" s="305"/>
      <c r="E820" s="305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  <c r="BI820" s="154"/>
      <c r="BJ820" s="154"/>
      <c r="BK820" s="154"/>
      <c r="BL820" s="154"/>
      <c r="BM820" s="154"/>
    </row>
    <row r="821">
      <c r="A821" s="154"/>
      <c r="B821" s="154"/>
      <c r="C821" s="305"/>
      <c r="D821" s="305"/>
      <c r="E821" s="305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  <c r="BI821" s="154"/>
      <c r="BJ821" s="154"/>
      <c r="BK821" s="154"/>
      <c r="BL821" s="154"/>
      <c r="BM821" s="154"/>
    </row>
    <row r="822">
      <c r="A822" s="154"/>
      <c r="B822" s="154"/>
      <c r="C822" s="305"/>
      <c r="D822" s="305"/>
      <c r="E822" s="305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  <c r="BI822" s="154"/>
      <c r="BJ822" s="154"/>
      <c r="BK822" s="154"/>
      <c r="BL822" s="154"/>
      <c r="BM822" s="154"/>
    </row>
    <row r="823">
      <c r="A823" s="154"/>
      <c r="B823" s="154"/>
      <c r="C823" s="305"/>
      <c r="D823" s="305"/>
      <c r="E823" s="305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  <c r="BI823" s="154"/>
      <c r="BJ823" s="154"/>
      <c r="BK823" s="154"/>
      <c r="BL823" s="154"/>
      <c r="BM823" s="154"/>
    </row>
    <row r="824">
      <c r="A824" s="154"/>
      <c r="B824" s="154"/>
      <c r="C824" s="305"/>
      <c r="D824" s="305"/>
      <c r="E824" s="305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  <c r="BI824" s="154"/>
      <c r="BJ824" s="154"/>
      <c r="BK824" s="154"/>
      <c r="BL824" s="154"/>
      <c r="BM824" s="154"/>
    </row>
    <row r="825">
      <c r="A825" s="154"/>
      <c r="B825" s="154"/>
      <c r="C825" s="305"/>
      <c r="D825" s="305"/>
      <c r="E825" s="305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  <c r="BI825" s="154"/>
      <c r="BJ825" s="154"/>
      <c r="BK825" s="154"/>
      <c r="BL825" s="154"/>
      <c r="BM825" s="154"/>
    </row>
    <row r="826">
      <c r="A826" s="154"/>
      <c r="B826" s="154"/>
      <c r="C826" s="305"/>
      <c r="D826" s="305"/>
      <c r="E826" s="305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  <c r="BI826" s="154"/>
      <c r="BJ826" s="154"/>
      <c r="BK826" s="154"/>
      <c r="BL826" s="154"/>
      <c r="BM826" s="154"/>
    </row>
    <row r="827">
      <c r="A827" s="154"/>
      <c r="B827" s="154"/>
      <c r="C827" s="305"/>
      <c r="D827" s="305"/>
      <c r="E827" s="305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  <c r="BI827" s="154"/>
      <c r="BJ827" s="154"/>
      <c r="BK827" s="154"/>
      <c r="BL827" s="154"/>
      <c r="BM827" s="154"/>
    </row>
    <row r="828">
      <c r="A828" s="154"/>
      <c r="B828" s="154"/>
      <c r="C828" s="305"/>
      <c r="D828" s="305"/>
      <c r="E828" s="305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  <c r="BI828" s="154"/>
      <c r="BJ828" s="154"/>
      <c r="BK828" s="154"/>
      <c r="BL828" s="154"/>
      <c r="BM828" s="154"/>
    </row>
    <row r="829">
      <c r="A829" s="154"/>
      <c r="B829" s="154"/>
      <c r="C829" s="305"/>
      <c r="D829" s="305"/>
      <c r="E829" s="305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  <c r="BI829" s="154"/>
      <c r="BJ829" s="154"/>
      <c r="BK829" s="154"/>
      <c r="BL829" s="154"/>
      <c r="BM829" s="154"/>
    </row>
    <row r="830">
      <c r="A830" s="154"/>
      <c r="B830" s="154"/>
      <c r="C830" s="305"/>
      <c r="D830" s="305"/>
      <c r="E830" s="305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  <c r="BI830" s="154"/>
      <c r="BJ830" s="154"/>
      <c r="BK830" s="154"/>
      <c r="BL830" s="154"/>
      <c r="BM830" s="154"/>
    </row>
    <row r="831">
      <c r="A831" s="154"/>
      <c r="B831" s="154"/>
      <c r="C831" s="305"/>
      <c r="D831" s="305"/>
      <c r="E831" s="305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  <c r="BI831" s="154"/>
      <c r="BJ831" s="154"/>
      <c r="BK831" s="154"/>
      <c r="BL831" s="154"/>
      <c r="BM831" s="154"/>
    </row>
    <row r="832">
      <c r="A832" s="154"/>
      <c r="B832" s="154"/>
      <c r="C832" s="305"/>
      <c r="D832" s="305"/>
      <c r="E832" s="305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  <c r="BI832" s="154"/>
      <c r="BJ832" s="154"/>
      <c r="BK832" s="154"/>
      <c r="BL832" s="154"/>
      <c r="BM832" s="154"/>
    </row>
    <row r="833">
      <c r="A833" s="154"/>
      <c r="B833" s="154"/>
      <c r="C833" s="305"/>
      <c r="D833" s="305"/>
      <c r="E833" s="305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  <c r="BI833" s="154"/>
      <c r="BJ833" s="154"/>
      <c r="BK833" s="154"/>
      <c r="BL833" s="154"/>
      <c r="BM833" s="154"/>
    </row>
    <row r="834">
      <c r="A834" s="154"/>
      <c r="B834" s="154"/>
      <c r="C834" s="305"/>
      <c r="D834" s="305"/>
      <c r="E834" s="305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  <c r="BI834" s="154"/>
      <c r="BJ834" s="154"/>
      <c r="BK834" s="154"/>
      <c r="BL834" s="154"/>
      <c r="BM834" s="154"/>
    </row>
    <row r="835">
      <c r="A835" s="154"/>
      <c r="B835" s="154"/>
      <c r="C835" s="305"/>
      <c r="D835" s="305"/>
      <c r="E835" s="305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  <c r="BI835" s="154"/>
      <c r="BJ835" s="154"/>
      <c r="BK835" s="154"/>
      <c r="BL835" s="154"/>
      <c r="BM835" s="154"/>
    </row>
    <row r="836">
      <c r="A836" s="154"/>
      <c r="B836" s="154"/>
      <c r="C836" s="305"/>
      <c r="D836" s="305"/>
      <c r="E836" s="305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  <c r="BI836" s="154"/>
      <c r="BJ836" s="154"/>
      <c r="BK836" s="154"/>
      <c r="BL836" s="154"/>
      <c r="BM836" s="154"/>
    </row>
    <row r="837">
      <c r="A837" s="154"/>
      <c r="B837" s="154"/>
      <c r="C837" s="305"/>
      <c r="D837" s="305"/>
      <c r="E837" s="305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  <c r="BI837" s="154"/>
      <c r="BJ837" s="154"/>
      <c r="BK837" s="154"/>
      <c r="BL837" s="154"/>
      <c r="BM837" s="154"/>
    </row>
    <row r="838">
      <c r="A838" s="154"/>
      <c r="B838" s="154"/>
      <c r="C838" s="305"/>
      <c r="D838" s="305"/>
      <c r="E838" s="305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  <c r="BI838" s="154"/>
      <c r="BJ838" s="154"/>
      <c r="BK838" s="154"/>
      <c r="BL838" s="154"/>
      <c r="BM838" s="154"/>
    </row>
    <row r="839">
      <c r="A839" s="154"/>
      <c r="B839" s="154"/>
      <c r="C839" s="305"/>
      <c r="D839" s="305"/>
      <c r="E839" s="305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  <c r="BI839" s="154"/>
      <c r="BJ839" s="154"/>
      <c r="BK839" s="154"/>
      <c r="BL839" s="154"/>
      <c r="BM839" s="154"/>
    </row>
    <row r="840">
      <c r="A840" s="154"/>
      <c r="B840" s="154"/>
      <c r="C840" s="305"/>
      <c r="D840" s="305"/>
      <c r="E840" s="305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  <c r="BI840" s="154"/>
      <c r="BJ840" s="154"/>
      <c r="BK840" s="154"/>
      <c r="BL840" s="154"/>
      <c r="BM840" s="154"/>
    </row>
    <row r="841">
      <c r="A841" s="154"/>
      <c r="B841" s="154"/>
      <c r="C841" s="305"/>
      <c r="D841" s="305"/>
      <c r="E841" s="305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  <c r="BI841" s="154"/>
      <c r="BJ841" s="154"/>
      <c r="BK841" s="154"/>
      <c r="BL841" s="154"/>
      <c r="BM841" s="154"/>
    </row>
    <row r="842">
      <c r="A842" s="154"/>
      <c r="B842" s="154"/>
      <c r="C842" s="305"/>
      <c r="D842" s="305"/>
      <c r="E842" s="305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  <c r="BI842" s="154"/>
      <c r="BJ842" s="154"/>
      <c r="BK842" s="154"/>
      <c r="BL842" s="154"/>
      <c r="BM842" s="154"/>
    </row>
    <row r="843">
      <c r="A843" s="154"/>
      <c r="B843" s="154"/>
      <c r="C843" s="305"/>
      <c r="D843" s="305"/>
      <c r="E843" s="305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  <c r="BI843" s="154"/>
      <c r="BJ843" s="154"/>
      <c r="BK843" s="154"/>
      <c r="BL843" s="154"/>
      <c r="BM843" s="154"/>
    </row>
    <row r="844">
      <c r="A844" s="154"/>
      <c r="B844" s="154"/>
      <c r="C844" s="305"/>
      <c r="D844" s="305"/>
      <c r="E844" s="305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  <c r="BI844" s="154"/>
      <c r="BJ844" s="154"/>
      <c r="BK844" s="154"/>
      <c r="BL844" s="154"/>
      <c r="BM844" s="154"/>
    </row>
    <row r="845">
      <c r="A845" s="154"/>
      <c r="B845" s="154"/>
      <c r="C845" s="305"/>
      <c r="D845" s="305"/>
      <c r="E845" s="305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  <c r="BI845" s="154"/>
      <c r="BJ845" s="154"/>
      <c r="BK845" s="154"/>
      <c r="BL845" s="154"/>
      <c r="BM845" s="154"/>
    </row>
    <row r="846">
      <c r="A846" s="154"/>
      <c r="B846" s="154"/>
      <c r="C846" s="305"/>
      <c r="D846" s="305"/>
      <c r="E846" s="305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  <c r="BI846" s="154"/>
      <c r="BJ846" s="154"/>
      <c r="BK846" s="154"/>
      <c r="BL846" s="154"/>
      <c r="BM846" s="154"/>
    </row>
    <row r="847">
      <c r="A847" s="154"/>
      <c r="B847" s="154"/>
      <c r="C847" s="305"/>
      <c r="D847" s="305"/>
      <c r="E847" s="305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  <c r="BI847" s="154"/>
      <c r="BJ847" s="154"/>
      <c r="BK847" s="154"/>
      <c r="BL847" s="154"/>
      <c r="BM847" s="154"/>
    </row>
    <row r="848">
      <c r="A848" s="154"/>
      <c r="B848" s="154"/>
      <c r="C848" s="305"/>
      <c r="D848" s="305"/>
      <c r="E848" s="305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  <c r="BI848" s="154"/>
      <c r="BJ848" s="154"/>
      <c r="BK848" s="154"/>
      <c r="BL848" s="154"/>
      <c r="BM848" s="154"/>
    </row>
    <row r="849">
      <c r="A849" s="154"/>
      <c r="B849" s="154"/>
      <c r="C849" s="305"/>
      <c r="D849" s="305"/>
      <c r="E849" s="305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  <c r="BI849" s="154"/>
      <c r="BJ849" s="154"/>
      <c r="BK849" s="154"/>
      <c r="BL849" s="154"/>
      <c r="BM849" s="154"/>
    </row>
    <row r="850">
      <c r="A850" s="154"/>
      <c r="B850" s="154"/>
      <c r="C850" s="305"/>
      <c r="D850" s="305"/>
      <c r="E850" s="305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  <c r="BI850" s="154"/>
      <c r="BJ850" s="154"/>
      <c r="BK850" s="154"/>
      <c r="BL850" s="154"/>
      <c r="BM850" s="154"/>
    </row>
    <row r="851">
      <c r="A851" s="154"/>
      <c r="B851" s="154"/>
      <c r="C851" s="305"/>
      <c r="D851" s="305"/>
      <c r="E851" s="305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  <c r="BI851" s="154"/>
      <c r="BJ851" s="154"/>
      <c r="BK851" s="154"/>
      <c r="BL851" s="154"/>
      <c r="BM851" s="154"/>
    </row>
    <row r="852">
      <c r="A852" s="154"/>
      <c r="B852" s="154"/>
      <c r="C852" s="305"/>
      <c r="D852" s="305"/>
      <c r="E852" s="305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  <c r="BI852" s="154"/>
      <c r="BJ852" s="154"/>
      <c r="BK852" s="154"/>
      <c r="BL852" s="154"/>
      <c r="BM852" s="154"/>
    </row>
    <row r="853">
      <c r="A853" s="154"/>
      <c r="B853" s="154"/>
      <c r="C853" s="305"/>
      <c r="D853" s="305"/>
      <c r="E853" s="305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  <c r="BI853" s="154"/>
      <c r="BJ853" s="154"/>
      <c r="BK853" s="154"/>
      <c r="BL853" s="154"/>
      <c r="BM853" s="154"/>
    </row>
    <row r="854">
      <c r="A854" s="154"/>
      <c r="B854" s="154"/>
      <c r="C854" s="305"/>
      <c r="D854" s="305"/>
      <c r="E854" s="305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  <c r="BI854" s="154"/>
      <c r="BJ854" s="154"/>
      <c r="BK854" s="154"/>
      <c r="BL854" s="154"/>
      <c r="BM854" s="154"/>
    </row>
    <row r="855">
      <c r="A855" s="154"/>
      <c r="B855" s="154"/>
      <c r="C855" s="305"/>
      <c r="D855" s="305"/>
      <c r="E855" s="305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  <c r="BI855" s="154"/>
      <c r="BJ855" s="154"/>
      <c r="BK855" s="154"/>
      <c r="BL855" s="154"/>
      <c r="BM855" s="154"/>
    </row>
    <row r="856">
      <c r="A856" s="154"/>
      <c r="B856" s="154"/>
      <c r="C856" s="305"/>
      <c r="D856" s="305"/>
      <c r="E856" s="305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  <c r="BI856" s="154"/>
      <c r="BJ856" s="154"/>
      <c r="BK856" s="154"/>
      <c r="BL856" s="154"/>
      <c r="BM856" s="154"/>
    </row>
    <row r="857">
      <c r="A857" s="154"/>
      <c r="B857" s="154"/>
      <c r="C857" s="305"/>
      <c r="D857" s="305"/>
      <c r="E857" s="305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  <c r="BI857" s="154"/>
      <c r="BJ857" s="154"/>
      <c r="BK857" s="154"/>
      <c r="BL857" s="154"/>
      <c r="BM857" s="154"/>
    </row>
    <row r="858">
      <c r="A858" s="154"/>
      <c r="B858" s="154"/>
      <c r="C858" s="305"/>
      <c r="D858" s="305"/>
      <c r="E858" s="305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  <c r="BI858" s="154"/>
      <c r="BJ858" s="154"/>
      <c r="BK858" s="154"/>
      <c r="BL858" s="154"/>
      <c r="BM858" s="154"/>
    </row>
    <row r="859">
      <c r="A859" s="154"/>
      <c r="B859" s="154"/>
      <c r="C859" s="305"/>
      <c r="D859" s="305"/>
      <c r="E859" s="305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  <c r="BI859" s="154"/>
      <c r="BJ859" s="154"/>
      <c r="BK859" s="154"/>
      <c r="BL859" s="154"/>
      <c r="BM859" s="154"/>
    </row>
    <row r="860">
      <c r="A860" s="154"/>
      <c r="B860" s="154"/>
      <c r="C860" s="305"/>
      <c r="D860" s="305"/>
      <c r="E860" s="305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  <c r="BI860" s="154"/>
      <c r="BJ860" s="154"/>
      <c r="BK860" s="154"/>
      <c r="BL860" s="154"/>
      <c r="BM860" s="154"/>
    </row>
    <row r="861">
      <c r="A861" s="154"/>
      <c r="B861" s="154"/>
      <c r="C861" s="305"/>
      <c r="D861" s="305"/>
      <c r="E861" s="305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  <c r="BI861" s="154"/>
      <c r="BJ861" s="154"/>
      <c r="BK861" s="154"/>
      <c r="BL861" s="154"/>
      <c r="BM861" s="154"/>
    </row>
    <row r="862">
      <c r="A862" s="154"/>
      <c r="B862" s="154"/>
      <c r="C862" s="305"/>
      <c r="D862" s="305"/>
      <c r="E862" s="305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  <c r="BI862" s="154"/>
      <c r="BJ862" s="154"/>
      <c r="BK862" s="154"/>
      <c r="BL862" s="154"/>
      <c r="BM862" s="154"/>
    </row>
    <row r="863">
      <c r="A863" s="154"/>
      <c r="B863" s="154"/>
      <c r="C863" s="305"/>
      <c r="D863" s="305"/>
      <c r="E863" s="305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  <c r="BI863" s="154"/>
      <c r="BJ863" s="154"/>
      <c r="BK863" s="154"/>
      <c r="BL863" s="154"/>
      <c r="BM863" s="154"/>
    </row>
    <row r="864">
      <c r="A864" s="154"/>
      <c r="B864" s="154"/>
      <c r="C864" s="305"/>
      <c r="D864" s="305"/>
      <c r="E864" s="305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  <c r="BI864" s="154"/>
      <c r="BJ864" s="154"/>
      <c r="BK864" s="154"/>
      <c r="BL864" s="154"/>
      <c r="BM864" s="154"/>
    </row>
    <row r="865">
      <c r="A865" s="154"/>
      <c r="B865" s="154"/>
      <c r="C865" s="305"/>
      <c r="D865" s="305"/>
      <c r="E865" s="305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  <c r="BI865" s="154"/>
      <c r="BJ865" s="154"/>
      <c r="BK865" s="154"/>
      <c r="BL865" s="154"/>
      <c r="BM865" s="154"/>
    </row>
    <row r="866">
      <c r="A866" s="154"/>
      <c r="B866" s="154"/>
      <c r="C866" s="305"/>
      <c r="D866" s="305"/>
      <c r="E866" s="305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  <c r="BI866" s="154"/>
      <c r="BJ866" s="154"/>
      <c r="BK866" s="154"/>
      <c r="BL866" s="154"/>
      <c r="BM866" s="154"/>
    </row>
    <row r="867">
      <c r="A867" s="154"/>
      <c r="B867" s="154"/>
      <c r="C867" s="305"/>
      <c r="D867" s="305"/>
      <c r="E867" s="305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  <c r="BI867" s="154"/>
      <c r="BJ867" s="154"/>
      <c r="BK867" s="154"/>
      <c r="BL867" s="154"/>
      <c r="BM867" s="154"/>
    </row>
    <row r="868">
      <c r="A868" s="154"/>
      <c r="B868" s="154"/>
      <c r="C868" s="305"/>
      <c r="D868" s="305"/>
      <c r="E868" s="305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  <c r="BI868" s="154"/>
      <c r="BJ868" s="154"/>
      <c r="BK868" s="154"/>
      <c r="BL868" s="154"/>
      <c r="BM868" s="154"/>
    </row>
    <row r="869">
      <c r="A869" s="154"/>
      <c r="B869" s="154"/>
      <c r="C869" s="305"/>
      <c r="D869" s="305"/>
      <c r="E869" s="305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  <c r="BI869" s="154"/>
      <c r="BJ869" s="154"/>
      <c r="BK869" s="154"/>
      <c r="BL869" s="154"/>
      <c r="BM869" s="154"/>
    </row>
    <row r="870">
      <c r="A870" s="154"/>
      <c r="B870" s="154"/>
      <c r="C870" s="305"/>
      <c r="D870" s="305"/>
      <c r="E870" s="305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  <c r="BI870" s="154"/>
      <c r="BJ870" s="154"/>
      <c r="BK870" s="154"/>
      <c r="BL870" s="154"/>
      <c r="BM870" s="154"/>
    </row>
    <row r="871">
      <c r="A871" s="154"/>
      <c r="B871" s="154"/>
      <c r="C871" s="305"/>
      <c r="D871" s="305"/>
      <c r="E871" s="305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  <c r="BI871" s="154"/>
      <c r="BJ871" s="154"/>
      <c r="BK871" s="154"/>
      <c r="BL871" s="154"/>
      <c r="BM871" s="154"/>
    </row>
    <row r="872">
      <c r="A872" s="154"/>
      <c r="B872" s="154"/>
      <c r="C872" s="305"/>
      <c r="D872" s="305"/>
      <c r="E872" s="305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  <c r="BI872" s="154"/>
      <c r="BJ872" s="154"/>
      <c r="BK872" s="154"/>
      <c r="BL872" s="154"/>
      <c r="BM872" s="154"/>
    </row>
    <row r="873">
      <c r="A873" s="154"/>
      <c r="B873" s="154"/>
      <c r="C873" s="305"/>
      <c r="D873" s="305"/>
      <c r="E873" s="305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  <c r="BI873" s="154"/>
      <c r="BJ873" s="154"/>
      <c r="BK873" s="154"/>
      <c r="BL873" s="154"/>
      <c r="BM873" s="154"/>
    </row>
    <row r="874">
      <c r="A874" s="154"/>
      <c r="B874" s="154"/>
      <c r="C874" s="305"/>
      <c r="D874" s="305"/>
      <c r="E874" s="305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  <c r="BI874" s="154"/>
      <c r="BJ874" s="154"/>
      <c r="BK874" s="154"/>
      <c r="BL874" s="154"/>
      <c r="BM874" s="154"/>
    </row>
    <row r="875">
      <c r="A875" s="154"/>
      <c r="B875" s="154"/>
      <c r="C875" s="305"/>
      <c r="D875" s="305"/>
      <c r="E875" s="305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  <c r="BI875" s="154"/>
      <c r="BJ875" s="154"/>
      <c r="BK875" s="154"/>
      <c r="BL875" s="154"/>
      <c r="BM875" s="154"/>
    </row>
    <row r="876">
      <c r="A876" s="154"/>
      <c r="B876" s="154"/>
      <c r="C876" s="305"/>
      <c r="D876" s="305"/>
      <c r="E876" s="305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  <c r="BI876" s="154"/>
      <c r="BJ876" s="154"/>
      <c r="BK876" s="154"/>
      <c r="BL876" s="154"/>
      <c r="BM876" s="154"/>
    </row>
    <row r="877">
      <c r="A877" s="154"/>
      <c r="B877" s="154"/>
      <c r="C877" s="305"/>
      <c r="D877" s="305"/>
      <c r="E877" s="305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  <c r="BI877" s="154"/>
      <c r="BJ877" s="154"/>
      <c r="BK877" s="154"/>
      <c r="BL877" s="154"/>
      <c r="BM877" s="154"/>
    </row>
    <row r="878">
      <c r="A878" s="154"/>
      <c r="B878" s="154"/>
      <c r="C878" s="305"/>
      <c r="D878" s="305"/>
      <c r="E878" s="305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  <c r="BI878" s="154"/>
      <c r="BJ878" s="154"/>
      <c r="BK878" s="154"/>
      <c r="BL878" s="154"/>
      <c r="BM878" s="154"/>
    </row>
    <row r="879">
      <c r="A879" s="154"/>
      <c r="B879" s="154"/>
      <c r="C879" s="305"/>
      <c r="D879" s="305"/>
      <c r="E879" s="305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  <c r="BI879" s="154"/>
      <c r="BJ879" s="154"/>
      <c r="BK879" s="154"/>
      <c r="BL879" s="154"/>
      <c r="BM879" s="154"/>
    </row>
    <row r="880">
      <c r="A880" s="154"/>
      <c r="B880" s="154"/>
      <c r="C880" s="305"/>
      <c r="D880" s="305"/>
      <c r="E880" s="305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  <c r="BI880" s="154"/>
      <c r="BJ880" s="154"/>
      <c r="BK880" s="154"/>
      <c r="BL880" s="154"/>
      <c r="BM880" s="154"/>
    </row>
    <row r="881">
      <c r="A881" s="154"/>
      <c r="B881" s="154"/>
      <c r="C881" s="305"/>
      <c r="D881" s="305"/>
      <c r="E881" s="305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  <c r="BI881" s="154"/>
      <c r="BJ881" s="154"/>
      <c r="BK881" s="154"/>
      <c r="BL881" s="154"/>
      <c r="BM881" s="154"/>
    </row>
    <row r="882">
      <c r="A882" s="154"/>
      <c r="B882" s="154"/>
      <c r="C882" s="305"/>
      <c r="D882" s="305"/>
      <c r="E882" s="305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  <c r="BI882" s="154"/>
      <c r="BJ882" s="154"/>
      <c r="BK882" s="154"/>
      <c r="BL882" s="154"/>
      <c r="BM882" s="154"/>
    </row>
    <row r="883">
      <c r="A883" s="154"/>
      <c r="B883" s="154"/>
      <c r="C883" s="305"/>
      <c r="D883" s="305"/>
      <c r="E883" s="305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  <c r="BI883" s="154"/>
      <c r="BJ883" s="154"/>
      <c r="BK883" s="154"/>
      <c r="BL883" s="154"/>
      <c r="BM883" s="154"/>
    </row>
    <row r="884">
      <c r="A884" s="154"/>
      <c r="B884" s="154"/>
      <c r="C884" s="305"/>
      <c r="D884" s="305"/>
      <c r="E884" s="305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  <c r="BI884" s="154"/>
      <c r="BJ884" s="154"/>
      <c r="BK884" s="154"/>
      <c r="BL884" s="154"/>
      <c r="BM884" s="154"/>
    </row>
    <row r="885">
      <c r="A885" s="154"/>
      <c r="B885" s="154"/>
      <c r="C885" s="305"/>
      <c r="D885" s="305"/>
      <c r="E885" s="305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  <c r="BI885" s="154"/>
      <c r="BJ885" s="154"/>
      <c r="BK885" s="154"/>
      <c r="BL885" s="154"/>
      <c r="BM885" s="154"/>
    </row>
    <row r="886">
      <c r="A886" s="154"/>
      <c r="B886" s="154"/>
      <c r="C886" s="305"/>
      <c r="D886" s="305"/>
      <c r="E886" s="305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  <c r="BI886" s="154"/>
      <c r="BJ886" s="154"/>
      <c r="BK886" s="154"/>
      <c r="BL886" s="154"/>
      <c r="BM886" s="154"/>
    </row>
    <row r="887">
      <c r="A887" s="154"/>
      <c r="B887" s="154"/>
      <c r="C887" s="305"/>
      <c r="D887" s="305"/>
      <c r="E887" s="305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  <c r="BI887" s="154"/>
      <c r="BJ887" s="154"/>
      <c r="BK887" s="154"/>
      <c r="BL887" s="154"/>
      <c r="BM887" s="154"/>
    </row>
    <row r="888">
      <c r="A888" s="154"/>
      <c r="B888" s="154"/>
      <c r="C888" s="305"/>
      <c r="D888" s="305"/>
      <c r="E888" s="305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  <c r="BI888" s="154"/>
      <c r="BJ888" s="154"/>
      <c r="BK888" s="154"/>
      <c r="BL888" s="154"/>
      <c r="BM888" s="154"/>
    </row>
    <row r="889">
      <c r="A889" s="154"/>
      <c r="B889" s="154"/>
      <c r="C889" s="305"/>
      <c r="D889" s="305"/>
      <c r="E889" s="305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  <c r="BI889" s="154"/>
      <c r="BJ889" s="154"/>
      <c r="BK889" s="154"/>
      <c r="BL889" s="154"/>
      <c r="BM889" s="154"/>
    </row>
    <row r="890">
      <c r="A890" s="154"/>
      <c r="B890" s="154"/>
      <c r="C890" s="305"/>
      <c r="D890" s="305"/>
      <c r="E890" s="305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  <c r="BI890" s="154"/>
      <c r="BJ890" s="154"/>
      <c r="BK890" s="154"/>
      <c r="BL890" s="154"/>
      <c r="BM890" s="154"/>
    </row>
    <row r="891">
      <c r="A891" s="154"/>
      <c r="B891" s="154"/>
      <c r="C891" s="305"/>
      <c r="D891" s="305"/>
      <c r="E891" s="305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  <c r="BI891" s="154"/>
      <c r="BJ891" s="154"/>
      <c r="BK891" s="154"/>
      <c r="BL891" s="154"/>
      <c r="BM891" s="154"/>
    </row>
    <row r="892">
      <c r="A892" s="154"/>
      <c r="B892" s="154"/>
      <c r="C892" s="305"/>
      <c r="D892" s="305"/>
      <c r="E892" s="305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  <c r="BI892" s="154"/>
      <c r="BJ892" s="154"/>
      <c r="BK892" s="154"/>
      <c r="BL892" s="154"/>
      <c r="BM892" s="154"/>
    </row>
    <row r="893">
      <c r="A893" s="154"/>
      <c r="B893" s="154"/>
      <c r="C893" s="305"/>
      <c r="D893" s="305"/>
      <c r="E893" s="305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  <c r="BI893" s="154"/>
      <c r="BJ893" s="154"/>
      <c r="BK893" s="154"/>
      <c r="BL893" s="154"/>
      <c r="BM893" s="154"/>
    </row>
    <row r="894">
      <c r="A894" s="154"/>
      <c r="B894" s="154"/>
      <c r="C894" s="305"/>
      <c r="D894" s="305"/>
      <c r="E894" s="305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  <c r="BI894" s="154"/>
      <c r="BJ894" s="154"/>
      <c r="BK894" s="154"/>
      <c r="BL894" s="154"/>
      <c r="BM894" s="154"/>
    </row>
    <row r="895">
      <c r="A895" s="154"/>
      <c r="B895" s="154"/>
      <c r="C895" s="305"/>
      <c r="D895" s="305"/>
      <c r="E895" s="305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  <c r="BI895" s="154"/>
      <c r="BJ895" s="154"/>
      <c r="BK895" s="154"/>
      <c r="BL895" s="154"/>
      <c r="BM895" s="154"/>
    </row>
    <row r="896">
      <c r="A896" s="154"/>
      <c r="B896" s="154"/>
      <c r="C896" s="305"/>
      <c r="D896" s="305"/>
      <c r="E896" s="305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  <c r="BI896" s="154"/>
      <c r="BJ896" s="154"/>
      <c r="BK896" s="154"/>
      <c r="BL896" s="154"/>
      <c r="BM896" s="154"/>
    </row>
    <row r="897">
      <c r="A897" s="154"/>
      <c r="B897" s="154"/>
      <c r="C897" s="305"/>
      <c r="D897" s="305"/>
      <c r="E897" s="305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  <c r="BI897" s="154"/>
      <c r="BJ897" s="154"/>
      <c r="BK897" s="154"/>
      <c r="BL897" s="154"/>
      <c r="BM897" s="154"/>
    </row>
    <row r="898">
      <c r="A898" s="154"/>
      <c r="B898" s="154"/>
      <c r="C898" s="305"/>
      <c r="D898" s="305"/>
      <c r="E898" s="305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  <c r="BI898" s="154"/>
      <c r="BJ898" s="154"/>
      <c r="BK898" s="154"/>
      <c r="BL898" s="154"/>
      <c r="BM898" s="154"/>
    </row>
    <row r="899">
      <c r="A899" s="154"/>
      <c r="B899" s="154"/>
      <c r="C899" s="305"/>
      <c r="D899" s="305"/>
      <c r="E899" s="305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  <c r="BI899" s="154"/>
      <c r="BJ899" s="154"/>
      <c r="BK899" s="154"/>
      <c r="BL899" s="154"/>
      <c r="BM899" s="154"/>
    </row>
    <row r="900">
      <c r="A900" s="154"/>
      <c r="B900" s="154"/>
      <c r="C900" s="305"/>
      <c r="D900" s="305"/>
      <c r="E900" s="305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  <c r="BI900" s="154"/>
      <c r="BJ900" s="154"/>
      <c r="BK900" s="154"/>
      <c r="BL900" s="154"/>
      <c r="BM900" s="154"/>
    </row>
    <row r="901">
      <c r="A901" s="154"/>
      <c r="B901" s="154"/>
      <c r="C901" s="305"/>
      <c r="D901" s="305"/>
      <c r="E901" s="305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  <c r="BI901" s="154"/>
      <c r="BJ901" s="154"/>
      <c r="BK901" s="154"/>
      <c r="BL901" s="154"/>
      <c r="BM901" s="154"/>
    </row>
    <row r="902">
      <c r="A902" s="154"/>
      <c r="B902" s="154"/>
      <c r="C902" s="305"/>
      <c r="D902" s="305"/>
      <c r="E902" s="305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  <c r="BI902" s="154"/>
      <c r="BJ902" s="154"/>
      <c r="BK902" s="154"/>
      <c r="BL902" s="154"/>
      <c r="BM902" s="154"/>
    </row>
    <row r="903">
      <c r="A903" s="154"/>
      <c r="B903" s="154"/>
      <c r="C903" s="305"/>
      <c r="D903" s="305"/>
      <c r="E903" s="305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  <c r="BI903" s="154"/>
      <c r="BJ903" s="154"/>
      <c r="BK903" s="154"/>
      <c r="BL903" s="154"/>
      <c r="BM903" s="154"/>
    </row>
    <row r="904">
      <c r="A904" s="154"/>
      <c r="B904" s="154"/>
      <c r="C904" s="305"/>
      <c r="D904" s="305"/>
      <c r="E904" s="305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  <c r="BI904" s="154"/>
      <c r="BJ904" s="154"/>
      <c r="BK904" s="154"/>
      <c r="BL904" s="154"/>
      <c r="BM904" s="154"/>
    </row>
    <row r="905">
      <c r="A905" s="154"/>
      <c r="B905" s="154"/>
      <c r="C905" s="305"/>
      <c r="D905" s="305"/>
      <c r="E905" s="305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  <c r="BI905" s="154"/>
      <c r="BJ905" s="154"/>
      <c r="BK905" s="154"/>
      <c r="BL905" s="154"/>
      <c r="BM905" s="154"/>
    </row>
    <row r="906">
      <c r="A906" s="154"/>
      <c r="B906" s="154"/>
      <c r="C906" s="305"/>
      <c r="D906" s="305"/>
      <c r="E906" s="305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  <c r="BI906" s="154"/>
      <c r="BJ906" s="154"/>
      <c r="BK906" s="154"/>
      <c r="BL906" s="154"/>
      <c r="BM906" s="154"/>
    </row>
    <row r="907">
      <c r="A907" s="154"/>
      <c r="B907" s="154"/>
      <c r="C907" s="305"/>
      <c r="D907" s="305"/>
      <c r="E907" s="305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  <c r="BI907" s="154"/>
      <c r="BJ907" s="154"/>
      <c r="BK907" s="154"/>
      <c r="BL907" s="154"/>
      <c r="BM907" s="154"/>
    </row>
    <row r="908">
      <c r="A908" s="154"/>
      <c r="B908" s="154"/>
      <c r="C908" s="305"/>
      <c r="D908" s="305"/>
      <c r="E908" s="305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  <c r="BI908" s="154"/>
      <c r="BJ908" s="154"/>
      <c r="BK908" s="154"/>
      <c r="BL908" s="154"/>
      <c r="BM908" s="154"/>
    </row>
    <row r="909">
      <c r="A909" s="154"/>
      <c r="B909" s="154"/>
      <c r="C909" s="305"/>
      <c r="D909" s="305"/>
      <c r="E909" s="305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  <c r="BI909" s="154"/>
      <c r="BJ909" s="154"/>
      <c r="BK909" s="154"/>
      <c r="BL909" s="154"/>
      <c r="BM909" s="154"/>
    </row>
    <row r="910">
      <c r="A910" s="154"/>
      <c r="B910" s="154"/>
      <c r="C910" s="305"/>
      <c r="D910" s="305"/>
      <c r="E910" s="305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  <c r="BI910" s="154"/>
      <c r="BJ910" s="154"/>
      <c r="BK910" s="154"/>
      <c r="BL910" s="154"/>
      <c r="BM910" s="154"/>
    </row>
    <row r="911">
      <c r="A911" s="154"/>
      <c r="B911" s="154"/>
      <c r="C911" s="305"/>
      <c r="D911" s="305"/>
      <c r="E911" s="305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  <c r="BI911" s="154"/>
      <c r="BJ911" s="154"/>
      <c r="BK911" s="154"/>
      <c r="BL911" s="154"/>
      <c r="BM911" s="154"/>
    </row>
    <row r="912">
      <c r="A912" s="154"/>
      <c r="B912" s="154"/>
      <c r="C912" s="305"/>
      <c r="D912" s="305"/>
      <c r="E912" s="305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  <c r="BI912" s="154"/>
      <c r="BJ912" s="154"/>
      <c r="BK912" s="154"/>
      <c r="BL912" s="154"/>
      <c r="BM912" s="154"/>
    </row>
    <row r="913">
      <c r="A913" s="154"/>
      <c r="B913" s="154"/>
      <c r="C913" s="305"/>
      <c r="D913" s="305"/>
      <c r="E913" s="305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  <c r="BI913" s="154"/>
      <c r="BJ913" s="154"/>
      <c r="BK913" s="154"/>
      <c r="BL913" s="154"/>
      <c r="BM913" s="154"/>
    </row>
    <row r="914">
      <c r="A914" s="154"/>
      <c r="B914" s="154"/>
      <c r="C914" s="305"/>
      <c r="D914" s="305"/>
      <c r="E914" s="305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  <c r="BI914" s="154"/>
      <c r="BJ914" s="154"/>
      <c r="BK914" s="154"/>
      <c r="BL914" s="154"/>
      <c r="BM914" s="154"/>
    </row>
    <row r="915">
      <c r="A915" s="154"/>
      <c r="B915" s="154"/>
      <c r="C915" s="305"/>
      <c r="D915" s="305"/>
      <c r="E915" s="305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  <c r="BI915" s="154"/>
      <c r="BJ915" s="154"/>
      <c r="BK915" s="154"/>
      <c r="BL915" s="154"/>
      <c r="BM915" s="154"/>
    </row>
    <row r="916">
      <c r="A916" s="154"/>
      <c r="B916" s="154"/>
      <c r="C916" s="305"/>
      <c r="D916" s="305"/>
      <c r="E916" s="305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  <c r="BI916" s="154"/>
      <c r="BJ916" s="154"/>
      <c r="BK916" s="154"/>
      <c r="BL916" s="154"/>
      <c r="BM916" s="154"/>
    </row>
    <row r="917">
      <c r="A917" s="154"/>
      <c r="B917" s="154"/>
      <c r="C917" s="305"/>
      <c r="D917" s="305"/>
      <c r="E917" s="305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  <c r="BI917" s="154"/>
      <c r="BJ917" s="154"/>
      <c r="BK917" s="154"/>
      <c r="BL917" s="154"/>
      <c r="BM917" s="154"/>
    </row>
    <row r="918">
      <c r="A918" s="154"/>
      <c r="B918" s="154"/>
      <c r="C918" s="305"/>
      <c r="D918" s="305"/>
      <c r="E918" s="305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  <c r="BI918" s="154"/>
      <c r="BJ918" s="154"/>
      <c r="BK918" s="154"/>
      <c r="BL918" s="154"/>
      <c r="BM918" s="154"/>
    </row>
    <row r="919">
      <c r="A919" s="154"/>
      <c r="B919" s="154"/>
      <c r="C919" s="305"/>
      <c r="D919" s="305"/>
      <c r="E919" s="305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  <c r="BI919" s="154"/>
      <c r="BJ919" s="154"/>
      <c r="BK919" s="154"/>
      <c r="BL919" s="154"/>
      <c r="BM919" s="154"/>
    </row>
    <row r="920">
      <c r="A920" s="154"/>
      <c r="B920" s="154"/>
      <c r="C920" s="305"/>
      <c r="D920" s="305"/>
      <c r="E920" s="305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  <c r="BI920" s="154"/>
      <c r="BJ920" s="154"/>
      <c r="BK920" s="154"/>
      <c r="BL920" s="154"/>
      <c r="BM920" s="154"/>
    </row>
    <row r="921">
      <c r="A921" s="154"/>
      <c r="B921" s="154"/>
      <c r="C921" s="305"/>
      <c r="D921" s="305"/>
      <c r="E921" s="305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  <c r="BI921" s="154"/>
      <c r="BJ921" s="154"/>
      <c r="BK921" s="154"/>
      <c r="BL921" s="154"/>
      <c r="BM921" s="154"/>
    </row>
    <row r="922">
      <c r="A922" s="154"/>
      <c r="B922" s="154"/>
      <c r="C922" s="305"/>
      <c r="D922" s="305"/>
      <c r="E922" s="305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  <c r="BI922" s="154"/>
      <c r="BJ922" s="154"/>
      <c r="BK922" s="154"/>
      <c r="BL922" s="154"/>
      <c r="BM922" s="154"/>
    </row>
    <row r="923">
      <c r="A923" s="154"/>
      <c r="B923" s="154"/>
      <c r="C923" s="305"/>
      <c r="D923" s="305"/>
      <c r="E923" s="305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  <c r="BI923" s="154"/>
      <c r="BJ923" s="154"/>
      <c r="BK923" s="154"/>
      <c r="BL923" s="154"/>
      <c r="BM923" s="154"/>
    </row>
    <row r="924">
      <c r="A924" s="154"/>
      <c r="B924" s="154"/>
      <c r="C924" s="305"/>
      <c r="D924" s="305"/>
      <c r="E924" s="305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  <c r="BI924" s="154"/>
      <c r="BJ924" s="154"/>
      <c r="BK924" s="154"/>
      <c r="BL924" s="154"/>
      <c r="BM924" s="154"/>
    </row>
    <row r="925">
      <c r="A925" s="154"/>
      <c r="B925" s="154"/>
      <c r="C925" s="305"/>
      <c r="D925" s="305"/>
      <c r="E925" s="305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  <c r="BI925" s="154"/>
      <c r="BJ925" s="154"/>
      <c r="BK925" s="154"/>
      <c r="BL925" s="154"/>
      <c r="BM925" s="154"/>
    </row>
    <row r="926">
      <c r="A926" s="154"/>
      <c r="B926" s="154"/>
      <c r="C926" s="305"/>
      <c r="D926" s="305"/>
      <c r="E926" s="305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  <c r="BI926" s="154"/>
      <c r="BJ926" s="154"/>
      <c r="BK926" s="154"/>
      <c r="BL926" s="154"/>
      <c r="BM926" s="154"/>
    </row>
    <row r="927">
      <c r="A927" s="154"/>
      <c r="B927" s="154"/>
      <c r="C927" s="305"/>
      <c r="D927" s="305"/>
      <c r="E927" s="305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  <c r="BI927" s="154"/>
      <c r="BJ927" s="154"/>
      <c r="BK927" s="154"/>
      <c r="BL927" s="154"/>
      <c r="BM927" s="154"/>
    </row>
    <row r="928">
      <c r="A928" s="154"/>
      <c r="B928" s="154"/>
      <c r="C928" s="305"/>
      <c r="D928" s="305"/>
      <c r="E928" s="305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  <c r="BI928" s="154"/>
      <c r="BJ928" s="154"/>
      <c r="BK928" s="154"/>
      <c r="BL928" s="154"/>
      <c r="BM928" s="154"/>
    </row>
    <row r="929">
      <c r="A929" s="154"/>
      <c r="B929" s="154"/>
      <c r="C929" s="305"/>
      <c r="D929" s="305"/>
      <c r="E929" s="305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  <c r="BI929" s="154"/>
      <c r="BJ929" s="154"/>
      <c r="BK929" s="154"/>
      <c r="BL929" s="154"/>
      <c r="BM929" s="154"/>
    </row>
    <row r="930">
      <c r="A930" s="154"/>
      <c r="B930" s="154"/>
      <c r="C930" s="305"/>
      <c r="D930" s="305"/>
      <c r="E930" s="305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  <c r="BI930" s="154"/>
      <c r="BJ930" s="154"/>
      <c r="BK930" s="154"/>
      <c r="BL930" s="154"/>
      <c r="BM930" s="154"/>
    </row>
    <row r="931">
      <c r="A931" s="154"/>
      <c r="B931" s="154"/>
      <c r="C931" s="305"/>
      <c r="D931" s="305"/>
      <c r="E931" s="305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  <c r="BI931" s="154"/>
      <c r="BJ931" s="154"/>
      <c r="BK931" s="154"/>
      <c r="BL931" s="154"/>
      <c r="BM931" s="154"/>
    </row>
    <row r="932">
      <c r="A932" s="154"/>
      <c r="B932" s="154"/>
      <c r="C932" s="305"/>
      <c r="D932" s="305"/>
      <c r="E932" s="305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  <c r="BI932" s="154"/>
      <c r="BJ932" s="154"/>
      <c r="BK932" s="154"/>
      <c r="BL932" s="154"/>
      <c r="BM932" s="154"/>
    </row>
    <row r="933">
      <c r="A933" s="154"/>
      <c r="B933" s="154"/>
      <c r="C933" s="305"/>
      <c r="D933" s="305"/>
      <c r="E933" s="305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  <c r="BI933" s="154"/>
      <c r="BJ933" s="154"/>
      <c r="BK933" s="154"/>
      <c r="BL933" s="154"/>
      <c r="BM933" s="154"/>
    </row>
    <row r="934">
      <c r="A934" s="154"/>
      <c r="B934" s="154"/>
      <c r="C934" s="305"/>
      <c r="D934" s="305"/>
      <c r="E934" s="305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  <c r="BI934" s="154"/>
      <c r="BJ934" s="154"/>
      <c r="BK934" s="154"/>
      <c r="BL934" s="154"/>
      <c r="BM934" s="154"/>
    </row>
    <row r="935">
      <c r="A935" s="154"/>
      <c r="B935" s="154"/>
      <c r="C935" s="305"/>
      <c r="D935" s="305"/>
      <c r="E935" s="305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  <c r="BI935" s="154"/>
      <c r="BJ935" s="154"/>
      <c r="BK935" s="154"/>
      <c r="BL935" s="154"/>
      <c r="BM935" s="154"/>
    </row>
    <row r="936">
      <c r="A936" s="154"/>
      <c r="B936" s="154"/>
      <c r="C936" s="305"/>
      <c r="D936" s="305"/>
      <c r="E936" s="305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  <c r="BI936" s="154"/>
      <c r="BJ936" s="154"/>
      <c r="BK936" s="154"/>
      <c r="BL936" s="154"/>
      <c r="BM936" s="154"/>
    </row>
    <row r="937">
      <c r="A937" s="154"/>
      <c r="B937" s="154"/>
      <c r="C937" s="305"/>
      <c r="D937" s="305"/>
      <c r="E937" s="305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  <c r="BI937" s="154"/>
      <c r="BJ937" s="154"/>
      <c r="BK937" s="154"/>
      <c r="BL937" s="154"/>
      <c r="BM937" s="154"/>
    </row>
    <row r="938">
      <c r="A938" s="154"/>
      <c r="B938" s="154"/>
      <c r="C938" s="305"/>
      <c r="D938" s="305"/>
      <c r="E938" s="305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  <c r="BI938" s="154"/>
      <c r="BJ938" s="154"/>
      <c r="BK938" s="154"/>
      <c r="BL938" s="154"/>
      <c r="BM938" s="154"/>
    </row>
    <row r="939">
      <c r="A939" s="154"/>
      <c r="B939" s="154"/>
      <c r="C939" s="305"/>
      <c r="D939" s="305"/>
      <c r="E939" s="305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  <c r="BI939" s="154"/>
      <c r="BJ939" s="154"/>
      <c r="BK939" s="154"/>
      <c r="BL939" s="154"/>
      <c r="BM939" s="154"/>
    </row>
    <row r="940">
      <c r="A940" s="154"/>
      <c r="B940" s="154"/>
      <c r="C940" s="305"/>
      <c r="D940" s="305"/>
      <c r="E940" s="305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  <c r="BI940" s="154"/>
      <c r="BJ940" s="154"/>
      <c r="BK940" s="154"/>
      <c r="BL940" s="154"/>
      <c r="BM940" s="154"/>
    </row>
    <row r="941">
      <c r="A941" s="154"/>
      <c r="B941" s="154"/>
      <c r="C941" s="305"/>
      <c r="D941" s="305"/>
      <c r="E941" s="305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  <c r="BI941" s="154"/>
      <c r="BJ941" s="154"/>
      <c r="BK941" s="154"/>
      <c r="BL941" s="154"/>
      <c r="BM941" s="154"/>
    </row>
    <row r="942">
      <c r="A942" s="154"/>
      <c r="B942" s="154"/>
      <c r="C942" s="305"/>
      <c r="D942" s="305"/>
      <c r="E942" s="305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  <c r="BI942" s="154"/>
      <c r="BJ942" s="154"/>
      <c r="BK942" s="154"/>
      <c r="BL942" s="154"/>
      <c r="BM942" s="154"/>
    </row>
    <row r="943">
      <c r="A943" s="154"/>
      <c r="B943" s="154"/>
      <c r="C943" s="305"/>
      <c r="D943" s="305"/>
      <c r="E943" s="305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  <c r="BI943" s="154"/>
      <c r="BJ943" s="154"/>
      <c r="BK943" s="154"/>
      <c r="BL943" s="154"/>
      <c r="BM943" s="154"/>
    </row>
    <row r="944">
      <c r="A944" s="154"/>
      <c r="B944" s="154"/>
      <c r="C944" s="305"/>
      <c r="D944" s="305"/>
      <c r="E944" s="305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  <c r="BI944" s="154"/>
      <c r="BJ944" s="154"/>
      <c r="BK944" s="154"/>
      <c r="BL944" s="154"/>
      <c r="BM944" s="154"/>
    </row>
    <row r="945">
      <c r="A945" s="154"/>
      <c r="B945" s="154"/>
      <c r="C945" s="305"/>
      <c r="D945" s="305"/>
      <c r="E945" s="305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  <c r="BI945" s="154"/>
      <c r="BJ945" s="154"/>
      <c r="BK945" s="154"/>
      <c r="BL945" s="154"/>
      <c r="BM945" s="154"/>
    </row>
    <row r="946">
      <c r="A946" s="154"/>
      <c r="B946" s="154"/>
      <c r="C946" s="305"/>
      <c r="D946" s="305"/>
      <c r="E946" s="305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  <c r="BI946" s="154"/>
      <c r="BJ946" s="154"/>
      <c r="BK946" s="154"/>
      <c r="BL946" s="154"/>
      <c r="BM946" s="154"/>
    </row>
    <row r="947">
      <c r="A947" s="154"/>
      <c r="B947" s="154"/>
      <c r="C947" s="305"/>
      <c r="D947" s="305"/>
      <c r="E947" s="305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  <c r="BI947" s="154"/>
      <c r="BJ947" s="154"/>
      <c r="BK947" s="154"/>
      <c r="BL947" s="154"/>
      <c r="BM947" s="154"/>
    </row>
    <row r="948">
      <c r="A948" s="154"/>
      <c r="B948" s="154"/>
      <c r="C948" s="305"/>
      <c r="D948" s="305"/>
      <c r="E948" s="305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  <c r="BI948" s="154"/>
      <c r="BJ948" s="154"/>
      <c r="BK948" s="154"/>
      <c r="BL948" s="154"/>
      <c r="BM948" s="154"/>
    </row>
    <row r="949">
      <c r="A949" s="154"/>
      <c r="B949" s="154"/>
      <c r="C949" s="305"/>
      <c r="D949" s="305"/>
      <c r="E949" s="305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  <c r="BI949" s="154"/>
      <c r="BJ949" s="154"/>
      <c r="BK949" s="154"/>
      <c r="BL949" s="154"/>
      <c r="BM949" s="154"/>
    </row>
    <row r="950">
      <c r="A950" s="154"/>
      <c r="B950" s="154"/>
      <c r="C950" s="305"/>
      <c r="D950" s="305"/>
      <c r="E950" s="305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  <c r="BI950" s="154"/>
      <c r="BJ950" s="154"/>
      <c r="BK950" s="154"/>
      <c r="BL950" s="154"/>
      <c r="BM950" s="154"/>
    </row>
    <row r="951">
      <c r="A951" s="154"/>
      <c r="B951" s="154"/>
      <c r="C951" s="305"/>
      <c r="D951" s="305"/>
      <c r="E951" s="305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  <c r="BI951" s="154"/>
      <c r="BJ951" s="154"/>
      <c r="BK951" s="154"/>
      <c r="BL951" s="154"/>
      <c r="BM951" s="154"/>
    </row>
    <row r="952">
      <c r="A952" s="154"/>
      <c r="B952" s="154"/>
      <c r="C952" s="305"/>
      <c r="D952" s="305"/>
      <c r="E952" s="305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  <c r="BI952" s="154"/>
      <c r="BJ952" s="154"/>
      <c r="BK952" s="154"/>
      <c r="BL952" s="154"/>
      <c r="BM952" s="154"/>
    </row>
    <row r="953">
      <c r="A953" s="154"/>
      <c r="B953" s="154"/>
      <c r="C953" s="305"/>
      <c r="D953" s="305"/>
      <c r="E953" s="305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  <c r="BI953" s="154"/>
      <c r="BJ953" s="154"/>
      <c r="BK953" s="154"/>
      <c r="BL953" s="154"/>
      <c r="BM953" s="154"/>
    </row>
    <row r="954">
      <c r="A954" s="154"/>
      <c r="B954" s="154"/>
      <c r="C954" s="305"/>
      <c r="D954" s="305"/>
      <c r="E954" s="305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  <c r="BI954" s="154"/>
      <c r="BJ954" s="154"/>
      <c r="BK954" s="154"/>
      <c r="BL954" s="154"/>
      <c r="BM954" s="154"/>
    </row>
    <row r="955">
      <c r="A955" s="154"/>
      <c r="B955" s="154"/>
      <c r="C955" s="305"/>
      <c r="D955" s="305"/>
      <c r="E955" s="305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  <c r="BI955" s="154"/>
      <c r="BJ955" s="154"/>
      <c r="BK955" s="154"/>
      <c r="BL955" s="154"/>
      <c r="BM955" s="154"/>
    </row>
    <row r="956">
      <c r="A956" s="154"/>
      <c r="B956" s="154"/>
      <c r="C956" s="305"/>
      <c r="D956" s="305"/>
      <c r="E956" s="305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  <c r="BI956" s="154"/>
      <c r="BJ956" s="154"/>
      <c r="BK956" s="154"/>
      <c r="BL956" s="154"/>
      <c r="BM956" s="154"/>
    </row>
    <row r="957">
      <c r="A957" s="154"/>
      <c r="B957" s="154"/>
      <c r="C957" s="305"/>
      <c r="D957" s="305"/>
      <c r="E957" s="305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  <c r="BI957" s="154"/>
      <c r="BJ957" s="154"/>
      <c r="BK957" s="154"/>
      <c r="BL957" s="154"/>
      <c r="BM957" s="154"/>
    </row>
    <row r="958">
      <c r="A958" s="154"/>
      <c r="B958" s="154"/>
      <c r="C958" s="305"/>
      <c r="D958" s="305"/>
      <c r="E958" s="305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  <c r="BI958" s="154"/>
      <c r="BJ958" s="154"/>
      <c r="BK958" s="154"/>
      <c r="BL958" s="154"/>
      <c r="BM958" s="154"/>
    </row>
    <row r="959">
      <c r="A959" s="154"/>
      <c r="B959" s="154"/>
      <c r="C959" s="305"/>
      <c r="D959" s="305"/>
      <c r="E959" s="305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  <c r="BI959" s="154"/>
      <c r="BJ959" s="154"/>
      <c r="BK959" s="154"/>
      <c r="BL959" s="154"/>
      <c r="BM959" s="154"/>
    </row>
    <row r="960">
      <c r="A960" s="154"/>
      <c r="B960" s="154"/>
      <c r="C960" s="305"/>
      <c r="D960" s="305"/>
      <c r="E960" s="305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  <c r="BI960" s="154"/>
      <c r="BJ960" s="154"/>
      <c r="BK960" s="154"/>
      <c r="BL960" s="154"/>
      <c r="BM960" s="154"/>
    </row>
    <row r="961">
      <c r="A961" s="154"/>
      <c r="B961" s="154"/>
      <c r="C961" s="305"/>
      <c r="D961" s="305"/>
      <c r="E961" s="305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  <c r="BI961" s="154"/>
      <c r="BJ961" s="154"/>
      <c r="BK961" s="154"/>
      <c r="BL961" s="154"/>
      <c r="BM961" s="154"/>
    </row>
    <row r="962">
      <c r="A962" s="154"/>
      <c r="B962" s="154"/>
      <c r="C962" s="305"/>
      <c r="D962" s="305"/>
      <c r="E962" s="305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  <c r="BI962" s="154"/>
      <c r="BJ962" s="154"/>
      <c r="BK962" s="154"/>
      <c r="BL962" s="154"/>
      <c r="BM962" s="154"/>
    </row>
    <row r="963">
      <c r="A963" s="154"/>
      <c r="B963" s="154"/>
      <c r="C963" s="305"/>
      <c r="D963" s="305"/>
      <c r="E963" s="305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  <c r="BI963" s="154"/>
      <c r="BJ963" s="154"/>
      <c r="BK963" s="154"/>
      <c r="BL963" s="154"/>
      <c r="BM963" s="154"/>
    </row>
    <row r="964">
      <c r="A964" s="154"/>
      <c r="B964" s="154"/>
      <c r="C964" s="305"/>
      <c r="D964" s="305"/>
      <c r="E964" s="305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  <c r="BI964" s="154"/>
      <c r="BJ964" s="154"/>
      <c r="BK964" s="154"/>
      <c r="BL964" s="154"/>
      <c r="BM964" s="154"/>
    </row>
    <row r="965">
      <c r="A965" s="154"/>
      <c r="B965" s="154"/>
      <c r="C965" s="305"/>
      <c r="D965" s="305"/>
      <c r="E965" s="305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  <c r="BI965" s="154"/>
      <c r="BJ965" s="154"/>
      <c r="BK965" s="154"/>
      <c r="BL965" s="154"/>
      <c r="BM965" s="154"/>
    </row>
    <row r="966">
      <c r="A966" s="154"/>
      <c r="B966" s="154"/>
      <c r="C966" s="305"/>
      <c r="D966" s="305"/>
      <c r="E966" s="305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  <c r="BI966" s="154"/>
      <c r="BJ966" s="154"/>
      <c r="BK966" s="154"/>
      <c r="BL966" s="154"/>
      <c r="BM966" s="154"/>
    </row>
    <row r="967">
      <c r="A967" s="154"/>
      <c r="B967" s="154"/>
      <c r="C967" s="305"/>
      <c r="D967" s="305"/>
      <c r="E967" s="305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  <c r="BI967" s="154"/>
      <c r="BJ967" s="154"/>
      <c r="BK967" s="154"/>
      <c r="BL967" s="154"/>
      <c r="BM967" s="154"/>
    </row>
    <row r="968">
      <c r="A968" s="154"/>
      <c r="B968" s="154"/>
      <c r="C968" s="305"/>
      <c r="D968" s="305"/>
      <c r="E968" s="305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  <c r="BI968" s="154"/>
      <c r="BJ968" s="154"/>
      <c r="BK968" s="154"/>
      <c r="BL968" s="154"/>
      <c r="BM968" s="154"/>
    </row>
    <row r="969">
      <c r="A969" s="154"/>
      <c r="B969" s="154"/>
      <c r="C969" s="305"/>
      <c r="D969" s="305"/>
      <c r="E969" s="305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  <c r="BI969" s="154"/>
      <c r="BJ969" s="154"/>
      <c r="BK969" s="154"/>
      <c r="BL969" s="154"/>
      <c r="BM969" s="154"/>
    </row>
    <row r="970">
      <c r="A970" s="154"/>
      <c r="B970" s="154"/>
      <c r="C970" s="305"/>
      <c r="D970" s="305"/>
      <c r="E970" s="305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  <c r="BI970" s="154"/>
      <c r="BJ970" s="154"/>
      <c r="BK970" s="154"/>
      <c r="BL970" s="154"/>
      <c r="BM970" s="154"/>
    </row>
    <row r="971">
      <c r="A971" s="154"/>
      <c r="B971" s="154"/>
      <c r="C971" s="305"/>
      <c r="D971" s="305"/>
      <c r="E971" s="305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  <c r="BI971" s="154"/>
      <c r="BJ971" s="154"/>
      <c r="BK971" s="154"/>
      <c r="BL971" s="154"/>
      <c r="BM971" s="154"/>
    </row>
    <row r="972">
      <c r="A972" s="154"/>
      <c r="B972" s="154"/>
      <c r="C972" s="305"/>
      <c r="D972" s="305"/>
      <c r="E972" s="305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  <c r="BI972" s="154"/>
      <c r="BJ972" s="154"/>
      <c r="BK972" s="154"/>
      <c r="BL972" s="154"/>
      <c r="BM972" s="154"/>
    </row>
    <row r="973">
      <c r="A973" s="154"/>
      <c r="B973" s="154"/>
      <c r="C973" s="305"/>
      <c r="D973" s="305"/>
      <c r="E973" s="305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  <c r="BI973" s="154"/>
      <c r="BJ973" s="154"/>
      <c r="BK973" s="154"/>
      <c r="BL973" s="154"/>
      <c r="BM973" s="154"/>
    </row>
    <row r="974">
      <c r="A974" s="154"/>
      <c r="B974" s="154"/>
      <c r="C974" s="305"/>
      <c r="D974" s="305"/>
      <c r="E974" s="305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  <c r="BI974" s="154"/>
      <c r="BJ974" s="154"/>
      <c r="BK974" s="154"/>
      <c r="BL974" s="154"/>
      <c r="BM974" s="154"/>
    </row>
    <row r="975">
      <c r="A975" s="154"/>
      <c r="B975" s="154"/>
      <c r="C975" s="305"/>
      <c r="D975" s="305"/>
      <c r="E975" s="305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  <c r="BI975" s="154"/>
      <c r="BJ975" s="154"/>
      <c r="BK975" s="154"/>
      <c r="BL975" s="154"/>
      <c r="BM975" s="154"/>
    </row>
    <row r="976">
      <c r="A976" s="154"/>
      <c r="B976" s="154"/>
      <c r="C976" s="305"/>
      <c r="D976" s="305"/>
      <c r="E976" s="305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  <c r="BI976" s="154"/>
      <c r="BJ976" s="154"/>
      <c r="BK976" s="154"/>
      <c r="BL976" s="154"/>
      <c r="BM976" s="154"/>
    </row>
    <row r="977">
      <c r="A977" s="154"/>
      <c r="B977" s="154"/>
      <c r="C977" s="305"/>
      <c r="D977" s="305"/>
      <c r="E977" s="305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  <c r="BI977" s="154"/>
      <c r="BJ977" s="154"/>
      <c r="BK977" s="154"/>
      <c r="BL977" s="154"/>
      <c r="BM977" s="154"/>
    </row>
    <row r="978">
      <c r="A978" s="154"/>
      <c r="B978" s="154"/>
      <c r="C978" s="305"/>
      <c r="D978" s="305"/>
      <c r="E978" s="305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  <c r="BI978" s="154"/>
      <c r="BJ978" s="154"/>
      <c r="BK978" s="154"/>
      <c r="BL978" s="154"/>
      <c r="BM978" s="154"/>
    </row>
    <row r="979">
      <c r="A979" s="154"/>
      <c r="B979" s="154"/>
      <c r="C979" s="305"/>
      <c r="D979" s="305"/>
      <c r="E979" s="305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  <c r="BI979" s="154"/>
      <c r="BJ979" s="154"/>
      <c r="BK979" s="154"/>
      <c r="BL979" s="154"/>
      <c r="BM979" s="154"/>
    </row>
    <row r="980">
      <c r="A980" s="154"/>
      <c r="B980" s="154"/>
      <c r="C980" s="305"/>
      <c r="D980" s="305"/>
      <c r="E980" s="305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  <c r="BI980" s="154"/>
      <c r="BJ980" s="154"/>
      <c r="BK980" s="154"/>
      <c r="BL980" s="154"/>
      <c r="BM980" s="154"/>
    </row>
    <row r="981">
      <c r="A981" s="154"/>
      <c r="B981" s="154"/>
      <c r="C981" s="305"/>
      <c r="D981" s="305"/>
      <c r="E981" s="305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  <c r="BI981" s="154"/>
      <c r="BJ981" s="154"/>
      <c r="BK981" s="154"/>
      <c r="BL981" s="154"/>
      <c r="BM981" s="154"/>
    </row>
    <row r="982">
      <c r="A982" s="154"/>
      <c r="B982" s="154"/>
      <c r="C982" s="305"/>
      <c r="D982" s="305"/>
      <c r="E982" s="305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  <c r="BI982" s="154"/>
      <c r="BJ982" s="154"/>
      <c r="BK982" s="154"/>
      <c r="BL982" s="154"/>
      <c r="BM982" s="154"/>
    </row>
    <row r="983">
      <c r="A983" s="154"/>
      <c r="B983" s="154"/>
      <c r="C983" s="305"/>
      <c r="D983" s="305"/>
      <c r="E983" s="305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  <c r="BI983" s="154"/>
      <c r="BJ983" s="154"/>
      <c r="BK983" s="154"/>
      <c r="BL983" s="154"/>
      <c r="BM983" s="154"/>
    </row>
    <row r="984">
      <c r="A984" s="154"/>
      <c r="B984" s="154"/>
      <c r="C984" s="305"/>
      <c r="D984" s="305"/>
      <c r="E984" s="305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  <c r="BI984" s="154"/>
      <c r="BJ984" s="154"/>
      <c r="BK984" s="154"/>
      <c r="BL984" s="154"/>
      <c r="BM984" s="154"/>
    </row>
    <row r="985">
      <c r="A985" s="154"/>
      <c r="B985" s="154"/>
      <c r="C985" s="305"/>
      <c r="D985" s="305"/>
      <c r="E985" s="305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  <c r="BI985" s="154"/>
      <c r="BJ985" s="154"/>
      <c r="BK985" s="154"/>
      <c r="BL985" s="154"/>
      <c r="BM985" s="154"/>
    </row>
    <row r="986">
      <c r="A986" s="154"/>
      <c r="B986" s="154"/>
      <c r="C986" s="305"/>
      <c r="D986" s="305"/>
      <c r="E986" s="305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  <c r="BI986" s="154"/>
      <c r="BJ986" s="154"/>
      <c r="BK986" s="154"/>
      <c r="BL986" s="154"/>
      <c r="BM986" s="154"/>
    </row>
    <row r="987">
      <c r="A987" s="154"/>
      <c r="B987" s="154"/>
      <c r="C987" s="305"/>
      <c r="D987" s="305"/>
      <c r="E987" s="305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  <c r="BI987" s="154"/>
      <c r="BJ987" s="154"/>
      <c r="BK987" s="154"/>
      <c r="BL987" s="154"/>
      <c r="BM987" s="154"/>
    </row>
    <row r="988">
      <c r="A988" s="154"/>
      <c r="B988" s="154"/>
      <c r="C988" s="305"/>
      <c r="D988" s="305"/>
      <c r="E988" s="305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  <c r="BI988" s="154"/>
      <c r="BJ988" s="154"/>
      <c r="BK988" s="154"/>
      <c r="BL988" s="154"/>
      <c r="BM988" s="154"/>
    </row>
    <row r="989">
      <c r="A989" s="154"/>
      <c r="B989" s="154"/>
      <c r="C989" s="305"/>
      <c r="D989" s="305"/>
      <c r="E989" s="305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  <c r="BI989" s="154"/>
      <c r="BJ989" s="154"/>
      <c r="BK989" s="154"/>
      <c r="BL989" s="154"/>
      <c r="BM989" s="154"/>
    </row>
    <row r="990">
      <c r="A990" s="154"/>
      <c r="B990" s="154"/>
      <c r="C990" s="305"/>
      <c r="D990" s="305"/>
      <c r="E990" s="305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  <c r="BI990" s="154"/>
      <c r="BJ990" s="154"/>
      <c r="BK990" s="154"/>
      <c r="BL990" s="154"/>
      <c r="BM990" s="154"/>
    </row>
    <row r="991">
      <c r="A991" s="154"/>
      <c r="B991" s="154"/>
      <c r="C991" s="305"/>
      <c r="D991" s="305"/>
      <c r="E991" s="305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  <c r="BI991" s="154"/>
      <c r="BJ991" s="154"/>
      <c r="BK991" s="154"/>
      <c r="BL991" s="154"/>
      <c r="BM991" s="154"/>
    </row>
    <row r="992">
      <c r="A992" s="154"/>
      <c r="B992" s="154"/>
      <c r="C992" s="305"/>
      <c r="D992" s="305"/>
      <c r="E992" s="305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  <c r="BI992" s="154"/>
      <c r="BJ992" s="154"/>
      <c r="BK992" s="154"/>
      <c r="BL992" s="154"/>
      <c r="BM992" s="154"/>
    </row>
    <row r="993">
      <c r="A993" s="154"/>
      <c r="B993" s="154"/>
      <c r="C993" s="305"/>
      <c r="D993" s="305"/>
      <c r="E993" s="305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  <c r="BI993" s="154"/>
      <c r="BJ993" s="154"/>
      <c r="BK993" s="154"/>
      <c r="BL993" s="154"/>
      <c r="BM993" s="154"/>
    </row>
    <row r="994">
      <c r="A994" s="154"/>
      <c r="B994" s="154"/>
      <c r="C994" s="305"/>
      <c r="D994" s="305"/>
      <c r="E994" s="305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  <c r="BI994" s="154"/>
      <c r="BJ994" s="154"/>
      <c r="BK994" s="154"/>
      <c r="BL994" s="154"/>
      <c r="BM994" s="154"/>
    </row>
    <row r="995">
      <c r="A995" s="154"/>
      <c r="B995" s="154"/>
      <c r="C995" s="305"/>
      <c r="D995" s="305"/>
      <c r="E995" s="305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  <c r="BI995" s="154"/>
      <c r="BJ995" s="154"/>
      <c r="BK995" s="154"/>
      <c r="BL995" s="154"/>
      <c r="BM995" s="154"/>
    </row>
    <row r="996">
      <c r="A996" s="154"/>
      <c r="B996" s="154"/>
      <c r="C996" s="305"/>
      <c r="D996" s="305"/>
      <c r="E996" s="305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  <c r="BI996" s="154"/>
      <c r="BJ996" s="154"/>
      <c r="BK996" s="154"/>
      <c r="BL996" s="154"/>
      <c r="BM996" s="154"/>
    </row>
    <row r="997">
      <c r="A997" s="154"/>
      <c r="B997" s="154"/>
      <c r="C997" s="305"/>
      <c r="D997" s="305"/>
      <c r="E997" s="305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  <c r="BI997" s="154"/>
      <c r="BJ997" s="154"/>
      <c r="BK997" s="154"/>
      <c r="BL997" s="154"/>
      <c r="BM997" s="154"/>
    </row>
    <row r="998">
      <c r="A998" s="154"/>
      <c r="B998" s="154"/>
      <c r="C998" s="305"/>
      <c r="D998" s="305"/>
      <c r="E998" s="305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  <c r="BI998" s="154"/>
      <c r="BJ998" s="154"/>
      <c r="BK998" s="154"/>
      <c r="BL998" s="154"/>
      <c r="BM998" s="154"/>
    </row>
    <row r="999">
      <c r="A999" s="154"/>
      <c r="B999" s="154"/>
      <c r="C999" s="305"/>
      <c r="D999" s="305"/>
      <c r="E999" s="305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  <c r="BI999" s="154"/>
      <c r="BJ999" s="154"/>
      <c r="BK999" s="154"/>
      <c r="BL999" s="154"/>
      <c r="BM999" s="154"/>
    </row>
    <row r="1000">
      <c r="A1000" s="154"/>
      <c r="B1000" s="154"/>
      <c r="C1000" s="305"/>
      <c r="D1000" s="305"/>
      <c r="E1000" s="305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  <c r="BI1000" s="154"/>
      <c r="BJ1000" s="154"/>
      <c r="BK1000" s="154"/>
      <c r="BL1000" s="154"/>
      <c r="BM1000" s="154"/>
    </row>
    <row r="1001">
      <c r="A1001" s="154"/>
      <c r="B1001" s="154"/>
      <c r="C1001" s="305"/>
      <c r="D1001" s="305"/>
      <c r="E1001" s="305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  <c r="BI1001" s="154"/>
      <c r="BJ1001" s="154"/>
      <c r="BK1001" s="154"/>
      <c r="BL1001" s="154"/>
      <c r="BM1001" s="154"/>
    </row>
    <row r="1002">
      <c r="A1002" s="154"/>
      <c r="B1002" s="154"/>
      <c r="C1002" s="305"/>
      <c r="D1002" s="305"/>
      <c r="E1002" s="305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  <c r="AA1002" s="154"/>
      <c r="AB1002" s="154"/>
      <c r="AC1002" s="154"/>
      <c r="AD1002" s="154"/>
      <c r="AE1002" s="154"/>
      <c r="AF1002" s="154"/>
      <c r="AG1002" s="154"/>
      <c r="AH1002" s="154"/>
      <c r="AI1002" s="154"/>
      <c r="AJ1002" s="154"/>
      <c r="AK1002" s="154"/>
      <c r="AL1002" s="154"/>
      <c r="AM1002" s="154"/>
      <c r="AN1002" s="154"/>
      <c r="AO1002" s="154"/>
      <c r="AP1002" s="154"/>
      <c r="AQ1002" s="154"/>
      <c r="AR1002" s="154"/>
      <c r="AS1002" s="154"/>
      <c r="AT1002" s="154"/>
      <c r="AU1002" s="154"/>
      <c r="AV1002" s="154"/>
      <c r="AW1002" s="154"/>
      <c r="AX1002" s="154"/>
      <c r="AY1002" s="154"/>
      <c r="AZ1002" s="154"/>
      <c r="BA1002" s="154"/>
      <c r="BB1002" s="154"/>
      <c r="BC1002" s="154"/>
      <c r="BD1002" s="154"/>
      <c r="BE1002" s="154"/>
      <c r="BF1002" s="154"/>
      <c r="BG1002" s="154"/>
      <c r="BH1002" s="154"/>
      <c r="BI1002" s="154"/>
      <c r="BJ1002" s="154"/>
      <c r="BK1002" s="154"/>
      <c r="BL1002" s="154"/>
      <c r="BM1002" s="154"/>
    </row>
    <row r="1003">
      <c r="A1003" s="154"/>
      <c r="B1003" s="154"/>
      <c r="C1003" s="305"/>
      <c r="D1003" s="305"/>
      <c r="E1003" s="305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  <c r="AA1003" s="154"/>
      <c r="AB1003" s="154"/>
      <c r="AC1003" s="154"/>
      <c r="AD1003" s="154"/>
      <c r="AE1003" s="154"/>
      <c r="AF1003" s="154"/>
      <c r="AG1003" s="154"/>
      <c r="AH1003" s="154"/>
      <c r="AI1003" s="154"/>
      <c r="AJ1003" s="154"/>
      <c r="AK1003" s="154"/>
      <c r="AL1003" s="154"/>
      <c r="AM1003" s="154"/>
      <c r="AN1003" s="154"/>
      <c r="AO1003" s="154"/>
      <c r="AP1003" s="154"/>
      <c r="AQ1003" s="154"/>
      <c r="AR1003" s="154"/>
      <c r="AS1003" s="154"/>
      <c r="AT1003" s="154"/>
      <c r="AU1003" s="154"/>
      <c r="AV1003" s="154"/>
      <c r="AW1003" s="154"/>
      <c r="AX1003" s="154"/>
      <c r="AY1003" s="154"/>
      <c r="AZ1003" s="154"/>
      <c r="BA1003" s="154"/>
      <c r="BB1003" s="154"/>
      <c r="BC1003" s="154"/>
      <c r="BD1003" s="154"/>
      <c r="BE1003" s="154"/>
      <c r="BF1003" s="154"/>
      <c r="BG1003" s="154"/>
      <c r="BH1003" s="154"/>
      <c r="BI1003" s="154"/>
      <c r="BJ1003" s="154"/>
      <c r="BK1003" s="154"/>
      <c r="BL1003" s="154"/>
      <c r="BM1003" s="154"/>
    </row>
    <row r="1004">
      <c r="A1004" s="154"/>
      <c r="B1004" s="154"/>
      <c r="C1004" s="305"/>
      <c r="D1004" s="305"/>
      <c r="E1004" s="305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  <c r="AA1004" s="154"/>
      <c r="AB1004" s="154"/>
      <c r="AC1004" s="154"/>
      <c r="AD1004" s="154"/>
      <c r="AE1004" s="154"/>
      <c r="AF1004" s="154"/>
      <c r="AG1004" s="154"/>
      <c r="AH1004" s="154"/>
      <c r="AI1004" s="154"/>
      <c r="AJ1004" s="154"/>
      <c r="AK1004" s="154"/>
      <c r="AL1004" s="154"/>
      <c r="AM1004" s="154"/>
      <c r="AN1004" s="154"/>
      <c r="AO1004" s="154"/>
      <c r="AP1004" s="154"/>
      <c r="AQ1004" s="154"/>
      <c r="AR1004" s="154"/>
      <c r="AS1004" s="154"/>
      <c r="AT1004" s="154"/>
      <c r="AU1004" s="154"/>
      <c r="AV1004" s="154"/>
      <c r="AW1004" s="154"/>
      <c r="AX1004" s="154"/>
      <c r="AY1004" s="154"/>
      <c r="AZ1004" s="154"/>
      <c r="BA1004" s="154"/>
      <c r="BB1004" s="154"/>
      <c r="BC1004" s="154"/>
      <c r="BD1004" s="154"/>
      <c r="BE1004" s="154"/>
      <c r="BF1004" s="154"/>
      <c r="BG1004" s="154"/>
      <c r="BH1004" s="154"/>
      <c r="BI1004" s="154"/>
      <c r="BJ1004" s="154"/>
      <c r="BK1004" s="154"/>
      <c r="BL1004" s="154"/>
      <c r="BM1004" s="154"/>
    </row>
    <row r="1005">
      <c r="A1005" s="154"/>
      <c r="B1005" s="154"/>
      <c r="C1005" s="305"/>
      <c r="D1005" s="305"/>
      <c r="E1005" s="305"/>
      <c r="F1005" s="154"/>
      <c r="G1005" s="154"/>
      <c r="H1005" s="154"/>
      <c r="I1005" s="154"/>
      <c r="J1005" s="154"/>
      <c r="K1005" s="154"/>
      <c r="L1005" s="154"/>
      <c r="M1005" s="154"/>
      <c r="N1005" s="154"/>
      <c r="O1005" s="154"/>
      <c r="P1005" s="154"/>
      <c r="Q1005" s="154"/>
      <c r="R1005" s="154"/>
      <c r="S1005" s="154"/>
      <c r="T1005" s="154"/>
      <c r="U1005" s="154"/>
      <c r="V1005" s="154"/>
      <c r="W1005" s="154"/>
      <c r="X1005" s="154"/>
      <c r="Y1005" s="154"/>
      <c r="Z1005" s="154"/>
      <c r="AA1005" s="154"/>
      <c r="AB1005" s="154"/>
      <c r="AC1005" s="154"/>
      <c r="AD1005" s="154"/>
      <c r="AE1005" s="154"/>
      <c r="AF1005" s="154"/>
      <c r="AG1005" s="154"/>
      <c r="AH1005" s="154"/>
      <c r="AI1005" s="154"/>
      <c r="AJ1005" s="154"/>
      <c r="AK1005" s="154"/>
      <c r="AL1005" s="154"/>
      <c r="AM1005" s="154"/>
      <c r="AN1005" s="154"/>
      <c r="AO1005" s="154"/>
      <c r="AP1005" s="154"/>
      <c r="AQ1005" s="154"/>
      <c r="AR1005" s="154"/>
      <c r="AS1005" s="154"/>
      <c r="AT1005" s="154"/>
      <c r="AU1005" s="154"/>
      <c r="AV1005" s="154"/>
      <c r="AW1005" s="154"/>
      <c r="AX1005" s="154"/>
      <c r="AY1005" s="154"/>
      <c r="AZ1005" s="154"/>
      <c r="BA1005" s="154"/>
      <c r="BB1005" s="154"/>
      <c r="BC1005" s="154"/>
      <c r="BD1005" s="154"/>
      <c r="BE1005" s="154"/>
      <c r="BF1005" s="154"/>
      <c r="BG1005" s="154"/>
      <c r="BH1005" s="154"/>
      <c r="BI1005" s="154"/>
      <c r="BJ1005" s="154"/>
      <c r="BK1005" s="154"/>
      <c r="BL1005" s="154"/>
      <c r="BM1005" s="154"/>
    </row>
    <row r="1006">
      <c r="A1006" s="154"/>
      <c r="B1006" s="154"/>
      <c r="C1006" s="305"/>
      <c r="D1006" s="305"/>
      <c r="E1006" s="305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4"/>
      <c r="T1006" s="154"/>
      <c r="U1006" s="154"/>
      <c r="V1006" s="154"/>
      <c r="W1006" s="154"/>
      <c r="X1006" s="154"/>
      <c r="Y1006" s="154"/>
      <c r="Z1006" s="154"/>
      <c r="AA1006" s="154"/>
      <c r="AB1006" s="154"/>
      <c r="AC1006" s="154"/>
      <c r="AD1006" s="154"/>
      <c r="AE1006" s="154"/>
      <c r="AF1006" s="154"/>
      <c r="AG1006" s="154"/>
      <c r="AH1006" s="154"/>
      <c r="AI1006" s="154"/>
      <c r="AJ1006" s="154"/>
      <c r="AK1006" s="154"/>
      <c r="AL1006" s="154"/>
      <c r="AM1006" s="154"/>
      <c r="AN1006" s="154"/>
      <c r="AO1006" s="154"/>
      <c r="AP1006" s="154"/>
      <c r="AQ1006" s="154"/>
      <c r="AR1006" s="154"/>
      <c r="AS1006" s="154"/>
      <c r="AT1006" s="154"/>
      <c r="AU1006" s="154"/>
      <c r="AV1006" s="154"/>
      <c r="AW1006" s="154"/>
      <c r="AX1006" s="154"/>
      <c r="AY1006" s="154"/>
      <c r="AZ1006" s="154"/>
      <c r="BA1006" s="154"/>
      <c r="BB1006" s="154"/>
      <c r="BC1006" s="154"/>
      <c r="BD1006" s="154"/>
      <c r="BE1006" s="154"/>
      <c r="BF1006" s="154"/>
      <c r="BG1006" s="154"/>
      <c r="BH1006" s="154"/>
      <c r="BI1006" s="154"/>
      <c r="BJ1006" s="154"/>
      <c r="BK1006" s="154"/>
      <c r="BL1006" s="154"/>
      <c r="BM1006" s="154"/>
    </row>
    <row r="1007">
      <c r="A1007" s="154"/>
      <c r="B1007" s="154"/>
      <c r="C1007" s="305"/>
      <c r="D1007" s="305"/>
      <c r="E1007" s="305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154"/>
      <c r="T1007" s="154"/>
      <c r="U1007" s="154"/>
      <c r="V1007" s="154"/>
      <c r="W1007" s="154"/>
      <c r="X1007" s="154"/>
      <c r="Y1007" s="154"/>
      <c r="Z1007" s="154"/>
      <c r="AA1007" s="154"/>
      <c r="AB1007" s="154"/>
      <c r="AC1007" s="154"/>
      <c r="AD1007" s="154"/>
      <c r="AE1007" s="154"/>
      <c r="AF1007" s="154"/>
      <c r="AG1007" s="154"/>
      <c r="AH1007" s="154"/>
      <c r="AI1007" s="154"/>
      <c r="AJ1007" s="154"/>
      <c r="AK1007" s="154"/>
      <c r="AL1007" s="154"/>
      <c r="AM1007" s="154"/>
      <c r="AN1007" s="154"/>
      <c r="AO1007" s="154"/>
      <c r="AP1007" s="154"/>
      <c r="AQ1007" s="154"/>
      <c r="AR1007" s="154"/>
      <c r="AS1007" s="154"/>
      <c r="AT1007" s="154"/>
      <c r="AU1007" s="154"/>
      <c r="AV1007" s="154"/>
      <c r="AW1007" s="154"/>
      <c r="AX1007" s="154"/>
      <c r="AY1007" s="154"/>
      <c r="AZ1007" s="154"/>
      <c r="BA1007" s="154"/>
      <c r="BB1007" s="154"/>
      <c r="BC1007" s="154"/>
      <c r="BD1007" s="154"/>
      <c r="BE1007" s="154"/>
      <c r="BF1007" s="154"/>
      <c r="BG1007" s="154"/>
      <c r="BH1007" s="154"/>
      <c r="BI1007" s="154"/>
      <c r="BJ1007" s="154"/>
      <c r="BK1007" s="154"/>
      <c r="BL1007" s="154"/>
      <c r="BM1007" s="154"/>
    </row>
    <row r="1008">
      <c r="A1008" s="154"/>
      <c r="B1008" s="154"/>
      <c r="C1008" s="305"/>
      <c r="D1008" s="305"/>
      <c r="E1008" s="305"/>
      <c r="F1008" s="154"/>
      <c r="G1008" s="154"/>
      <c r="H1008" s="154"/>
      <c r="I1008" s="154"/>
      <c r="J1008" s="154"/>
      <c r="K1008" s="154"/>
      <c r="L1008" s="154"/>
      <c r="M1008" s="154"/>
      <c r="N1008" s="154"/>
      <c r="O1008" s="154"/>
      <c r="P1008" s="154"/>
      <c r="Q1008" s="154"/>
      <c r="R1008" s="154"/>
      <c r="S1008" s="154"/>
      <c r="T1008" s="154"/>
      <c r="U1008" s="154"/>
      <c r="V1008" s="154"/>
      <c r="W1008" s="154"/>
      <c r="X1008" s="154"/>
      <c r="Y1008" s="154"/>
      <c r="Z1008" s="154"/>
      <c r="AA1008" s="154"/>
      <c r="AB1008" s="154"/>
      <c r="AC1008" s="154"/>
      <c r="AD1008" s="154"/>
      <c r="AE1008" s="154"/>
      <c r="AF1008" s="154"/>
      <c r="AG1008" s="154"/>
      <c r="AH1008" s="154"/>
      <c r="AI1008" s="154"/>
      <c r="AJ1008" s="154"/>
      <c r="AK1008" s="154"/>
      <c r="AL1008" s="154"/>
      <c r="AM1008" s="154"/>
      <c r="AN1008" s="154"/>
      <c r="AO1008" s="154"/>
      <c r="AP1008" s="154"/>
      <c r="AQ1008" s="154"/>
      <c r="AR1008" s="154"/>
      <c r="AS1008" s="154"/>
      <c r="AT1008" s="154"/>
      <c r="AU1008" s="154"/>
      <c r="AV1008" s="154"/>
      <c r="AW1008" s="154"/>
      <c r="AX1008" s="154"/>
      <c r="AY1008" s="154"/>
      <c r="AZ1008" s="154"/>
      <c r="BA1008" s="154"/>
      <c r="BB1008" s="154"/>
      <c r="BC1008" s="154"/>
      <c r="BD1008" s="154"/>
      <c r="BE1008" s="154"/>
      <c r="BF1008" s="154"/>
      <c r="BG1008" s="154"/>
      <c r="BH1008" s="154"/>
      <c r="BI1008" s="154"/>
      <c r="BJ1008" s="154"/>
      <c r="BK1008" s="154"/>
      <c r="BL1008" s="154"/>
      <c r="BM1008" s="154"/>
    </row>
    <row r="1009">
      <c r="A1009" s="154"/>
      <c r="B1009" s="154"/>
      <c r="C1009" s="305"/>
      <c r="D1009" s="305"/>
      <c r="E1009" s="305"/>
      <c r="F1009" s="154"/>
      <c r="G1009" s="154"/>
      <c r="H1009" s="154"/>
      <c r="I1009" s="154"/>
      <c r="J1009" s="154"/>
      <c r="K1009" s="154"/>
      <c r="L1009" s="154"/>
      <c r="M1009" s="154"/>
      <c r="N1009" s="154"/>
      <c r="O1009" s="154"/>
      <c r="P1009" s="154"/>
      <c r="Q1009" s="154"/>
      <c r="R1009" s="154"/>
      <c r="S1009" s="154"/>
      <c r="T1009" s="154"/>
      <c r="U1009" s="154"/>
      <c r="V1009" s="154"/>
      <c r="W1009" s="154"/>
      <c r="X1009" s="154"/>
      <c r="Y1009" s="154"/>
      <c r="Z1009" s="154"/>
      <c r="AA1009" s="154"/>
      <c r="AB1009" s="154"/>
      <c r="AC1009" s="154"/>
      <c r="AD1009" s="154"/>
      <c r="AE1009" s="154"/>
      <c r="AF1009" s="154"/>
      <c r="AG1009" s="154"/>
      <c r="AH1009" s="154"/>
      <c r="AI1009" s="154"/>
      <c r="AJ1009" s="154"/>
      <c r="AK1009" s="154"/>
      <c r="AL1009" s="154"/>
      <c r="AM1009" s="154"/>
      <c r="AN1009" s="154"/>
      <c r="AO1009" s="154"/>
      <c r="AP1009" s="154"/>
      <c r="AQ1009" s="154"/>
      <c r="AR1009" s="154"/>
      <c r="AS1009" s="154"/>
      <c r="AT1009" s="154"/>
      <c r="AU1009" s="154"/>
      <c r="AV1009" s="154"/>
      <c r="AW1009" s="154"/>
      <c r="AX1009" s="154"/>
      <c r="AY1009" s="154"/>
      <c r="AZ1009" s="154"/>
      <c r="BA1009" s="154"/>
      <c r="BB1009" s="154"/>
      <c r="BC1009" s="154"/>
      <c r="BD1009" s="154"/>
      <c r="BE1009" s="154"/>
      <c r="BF1009" s="154"/>
      <c r="BG1009" s="154"/>
      <c r="BH1009" s="154"/>
      <c r="BI1009" s="154"/>
      <c r="BJ1009" s="154"/>
      <c r="BK1009" s="154"/>
      <c r="BL1009" s="154"/>
      <c r="BM1009" s="154"/>
    </row>
    <row r="1010">
      <c r="A1010" s="154"/>
      <c r="B1010" s="154"/>
      <c r="C1010" s="305"/>
      <c r="D1010" s="305"/>
      <c r="E1010" s="305"/>
      <c r="F1010" s="154"/>
      <c r="G1010" s="154"/>
      <c r="H1010" s="154"/>
      <c r="I1010" s="154"/>
      <c r="J1010" s="154"/>
      <c r="K1010" s="154"/>
      <c r="L1010" s="154"/>
      <c r="M1010" s="154"/>
      <c r="N1010" s="154"/>
      <c r="O1010" s="154"/>
      <c r="P1010" s="154"/>
      <c r="Q1010" s="154"/>
      <c r="R1010" s="154"/>
      <c r="S1010" s="154"/>
      <c r="T1010" s="154"/>
      <c r="U1010" s="154"/>
      <c r="V1010" s="154"/>
      <c r="W1010" s="154"/>
      <c r="X1010" s="154"/>
      <c r="Y1010" s="154"/>
      <c r="Z1010" s="154"/>
      <c r="AA1010" s="154"/>
      <c r="AB1010" s="154"/>
      <c r="AC1010" s="154"/>
      <c r="AD1010" s="154"/>
      <c r="AE1010" s="154"/>
      <c r="AF1010" s="154"/>
      <c r="AG1010" s="154"/>
      <c r="AH1010" s="154"/>
      <c r="AI1010" s="154"/>
      <c r="AJ1010" s="154"/>
      <c r="AK1010" s="154"/>
      <c r="AL1010" s="154"/>
      <c r="AM1010" s="154"/>
      <c r="AN1010" s="154"/>
      <c r="AO1010" s="154"/>
      <c r="AP1010" s="154"/>
      <c r="AQ1010" s="154"/>
      <c r="AR1010" s="154"/>
      <c r="AS1010" s="154"/>
      <c r="AT1010" s="154"/>
      <c r="AU1010" s="154"/>
      <c r="AV1010" s="154"/>
      <c r="AW1010" s="154"/>
      <c r="AX1010" s="154"/>
      <c r="AY1010" s="154"/>
      <c r="AZ1010" s="154"/>
      <c r="BA1010" s="154"/>
      <c r="BB1010" s="154"/>
      <c r="BC1010" s="154"/>
      <c r="BD1010" s="154"/>
      <c r="BE1010" s="154"/>
      <c r="BF1010" s="154"/>
      <c r="BG1010" s="154"/>
      <c r="BH1010" s="154"/>
      <c r="BI1010" s="154"/>
      <c r="BJ1010" s="154"/>
      <c r="BK1010" s="154"/>
      <c r="BL1010" s="154"/>
      <c r="BM1010" s="154"/>
    </row>
    <row r="1011">
      <c r="A1011" s="154"/>
      <c r="B1011" s="154"/>
      <c r="C1011" s="305"/>
      <c r="D1011" s="305"/>
      <c r="E1011" s="305"/>
      <c r="F1011" s="154"/>
      <c r="G1011" s="154"/>
      <c r="H1011" s="154"/>
      <c r="I1011" s="154"/>
      <c r="J1011" s="154"/>
      <c r="K1011" s="154"/>
      <c r="L1011" s="154"/>
      <c r="M1011" s="154"/>
      <c r="N1011" s="154"/>
      <c r="O1011" s="154"/>
      <c r="P1011" s="154"/>
      <c r="Q1011" s="154"/>
      <c r="R1011" s="154"/>
      <c r="S1011" s="154"/>
      <c r="T1011" s="154"/>
      <c r="U1011" s="154"/>
      <c r="V1011" s="154"/>
      <c r="W1011" s="154"/>
      <c r="X1011" s="154"/>
      <c r="Y1011" s="154"/>
      <c r="Z1011" s="154"/>
      <c r="AA1011" s="154"/>
      <c r="AB1011" s="154"/>
      <c r="AC1011" s="154"/>
      <c r="AD1011" s="154"/>
      <c r="AE1011" s="154"/>
      <c r="AF1011" s="154"/>
      <c r="AG1011" s="154"/>
      <c r="AH1011" s="154"/>
      <c r="AI1011" s="154"/>
      <c r="AJ1011" s="154"/>
      <c r="AK1011" s="154"/>
      <c r="AL1011" s="154"/>
      <c r="AM1011" s="154"/>
      <c r="AN1011" s="154"/>
      <c r="AO1011" s="154"/>
      <c r="AP1011" s="154"/>
      <c r="AQ1011" s="154"/>
      <c r="AR1011" s="154"/>
      <c r="AS1011" s="154"/>
      <c r="AT1011" s="154"/>
      <c r="AU1011" s="154"/>
      <c r="AV1011" s="154"/>
      <c r="AW1011" s="154"/>
      <c r="AX1011" s="154"/>
      <c r="AY1011" s="154"/>
      <c r="AZ1011" s="154"/>
      <c r="BA1011" s="154"/>
      <c r="BB1011" s="154"/>
      <c r="BC1011" s="154"/>
      <c r="BD1011" s="154"/>
      <c r="BE1011" s="154"/>
      <c r="BF1011" s="154"/>
      <c r="BG1011" s="154"/>
      <c r="BH1011" s="154"/>
      <c r="BI1011" s="154"/>
      <c r="BJ1011" s="154"/>
      <c r="BK1011" s="154"/>
      <c r="BL1011" s="154"/>
      <c r="BM1011" s="154"/>
    </row>
    <row r="1012">
      <c r="A1012" s="154"/>
      <c r="B1012" s="154"/>
      <c r="C1012" s="305"/>
      <c r="D1012" s="305"/>
      <c r="E1012" s="305"/>
      <c r="F1012" s="154"/>
      <c r="G1012" s="154"/>
      <c r="H1012" s="154"/>
      <c r="I1012" s="154"/>
      <c r="J1012" s="154"/>
      <c r="K1012" s="154"/>
      <c r="L1012" s="154"/>
      <c r="M1012" s="154"/>
      <c r="N1012" s="154"/>
      <c r="O1012" s="154"/>
      <c r="P1012" s="154"/>
      <c r="Q1012" s="154"/>
      <c r="R1012" s="154"/>
      <c r="S1012" s="154"/>
      <c r="T1012" s="154"/>
      <c r="U1012" s="154"/>
      <c r="V1012" s="154"/>
      <c r="W1012" s="154"/>
      <c r="X1012" s="154"/>
      <c r="Y1012" s="154"/>
      <c r="Z1012" s="154"/>
      <c r="AA1012" s="154"/>
      <c r="AB1012" s="154"/>
      <c r="AC1012" s="154"/>
      <c r="AD1012" s="154"/>
      <c r="AE1012" s="154"/>
      <c r="AF1012" s="154"/>
      <c r="AG1012" s="154"/>
      <c r="AH1012" s="154"/>
      <c r="AI1012" s="154"/>
      <c r="AJ1012" s="154"/>
      <c r="AK1012" s="154"/>
      <c r="AL1012" s="154"/>
      <c r="AM1012" s="154"/>
      <c r="AN1012" s="154"/>
      <c r="AO1012" s="154"/>
      <c r="AP1012" s="154"/>
      <c r="AQ1012" s="154"/>
      <c r="AR1012" s="154"/>
      <c r="AS1012" s="154"/>
      <c r="AT1012" s="154"/>
      <c r="AU1012" s="154"/>
      <c r="AV1012" s="154"/>
      <c r="AW1012" s="154"/>
      <c r="AX1012" s="154"/>
      <c r="AY1012" s="154"/>
      <c r="AZ1012" s="154"/>
      <c r="BA1012" s="154"/>
      <c r="BB1012" s="154"/>
      <c r="BC1012" s="154"/>
      <c r="BD1012" s="154"/>
      <c r="BE1012" s="154"/>
      <c r="BF1012" s="154"/>
      <c r="BG1012" s="154"/>
      <c r="BH1012" s="154"/>
      <c r="BI1012" s="154"/>
      <c r="BJ1012" s="154"/>
      <c r="BK1012" s="154"/>
      <c r="BL1012" s="154"/>
      <c r="BM1012" s="154"/>
    </row>
    <row r="1013">
      <c r="A1013" s="154"/>
      <c r="B1013" s="154"/>
      <c r="C1013" s="305"/>
      <c r="D1013" s="305"/>
      <c r="E1013" s="305"/>
      <c r="F1013" s="154"/>
      <c r="G1013" s="154"/>
      <c r="H1013" s="154"/>
      <c r="I1013" s="154"/>
      <c r="J1013" s="154"/>
      <c r="K1013" s="154"/>
      <c r="L1013" s="154"/>
      <c r="M1013" s="154"/>
      <c r="N1013" s="154"/>
      <c r="O1013" s="154"/>
      <c r="P1013" s="154"/>
      <c r="Q1013" s="154"/>
      <c r="R1013" s="154"/>
      <c r="S1013" s="154"/>
      <c r="T1013" s="154"/>
      <c r="U1013" s="154"/>
      <c r="V1013" s="154"/>
      <c r="W1013" s="154"/>
      <c r="X1013" s="154"/>
      <c r="Y1013" s="154"/>
      <c r="Z1013" s="154"/>
      <c r="AA1013" s="154"/>
      <c r="AB1013" s="154"/>
      <c r="AC1013" s="154"/>
      <c r="AD1013" s="154"/>
      <c r="AE1013" s="154"/>
      <c r="AF1013" s="154"/>
      <c r="AG1013" s="154"/>
      <c r="AH1013" s="154"/>
      <c r="AI1013" s="154"/>
      <c r="AJ1013" s="154"/>
      <c r="AK1013" s="154"/>
      <c r="AL1013" s="154"/>
      <c r="AM1013" s="154"/>
      <c r="AN1013" s="154"/>
      <c r="AO1013" s="154"/>
      <c r="AP1013" s="154"/>
      <c r="AQ1013" s="154"/>
      <c r="AR1013" s="154"/>
      <c r="AS1013" s="154"/>
      <c r="AT1013" s="154"/>
      <c r="AU1013" s="154"/>
      <c r="AV1013" s="154"/>
      <c r="AW1013" s="154"/>
      <c r="AX1013" s="154"/>
      <c r="AY1013" s="154"/>
      <c r="AZ1013" s="154"/>
      <c r="BA1013" s="154"/>
      <c r="BB1013" s="154"/>
      <c r="BC1013" s="154"/>
      <c r="BD1013" s="154"/>
      <c r="BE1013" s="154"/>
      <c r="BF1013" s="154"/>
      <c r="BG1013" s="154"/>
      <c r="BH1013" s="154"/>
      <c r="BI1013" s="154"/>
      <c r="BJ1013" s="154"/>
      <c r="BK1013" s="154"/>
      <c r="BL1013" s="154"/>
      <c r="BM1013" s="154"/>
    </row>
    <row r="1014">
      <c r="A1014" s="154"/>
      <c r="B1014" s="154"/>
      <c r="C1014" s="305"/>
      <c r="D1014" s="305"/>
      <c r="E1014" s="305"/>
      <c r="F1014" s="154"/>
      <c r="G1014" s="154"/>
      <c r="H1014" s="154"/>
      <c r="I1014" s="154"/>
      <c r="J1014" s="154"/>
      <c r="K1014" s="154"/>
      <c r="L1014" s="154"/>
      <c r="M1014" s="154"/>
      <c r="N1014" s="154"/>
      <c r="O1014" s="154"/>
      <c r="P1014" s="154"/>
      <c r="Q1014" s="154"/>
      <c r="R1014" s="154"/>
      <c r="S1014" s="154"/>
      <c r="T1014" s="154"/>
      <c r="U1014" s="154"/>
      <c r="V1014" s="154"/>
      <c r="W1014" s="154"/>
      <c r="X1014" s="154"/>
      <c r="Y1014" s="154"/>
      <c r="Z1014" s="154"/>
      <c r="AA1014" s="154"/>
      <c r="AB1014" s="154"/>
      <c r="AC1014" s="154"/>
      <c r="AD1014" s="154"/>
      <c r="AE1014" s="154"/>
      <c r="AF1014" s="154"/>
      <c r="AG1014" s="154"/>
      <c r="AH1014" s="154"/>
      <c r="AI1014" s="154"/>
      <c r="AJ1014" s="154"/>
      <c r="AK1014" s="154"/>
      <c r="AL1014" s="154"/>
      <c r="AM1014" s="154"/>
      <c r="AN1014" s="154"/>
      <c r="AO1014" s="154"/>
      <c r="AP1014" s="154"/>
      <c r="AQ1014" s="154"/>
      <c r="AR1014" s="154"/>
      <c r="AS1014" s="154"/>
      <c r="AT1014" s="154"/>
      <c r="AU1014" s="154"/>
      <c r="AV1014" s="154"/>
      <c r="AW1014" s="154"/>
      <c r="AX1014" s="154"/>
      <c r="AY1014" s="154"/>
      <c r="AZ1014" s="154"/>
      <c r="BA1014" s="154"/>
      <c r="BB1014" s="154"/>
      <c r="BC1014" s="154"/>
      <c r="BD1014" s="154"/>
      <c r="BE1014" s="154"/>
      <c r="BF1014" s="154"/>
      <c r="BG1014" s="154"/>
      <c r="BH1014" s="154"/>
      <c r="BI1014" s="154"/>
      <c r="BJ1014" s="154"/>
      <c r="BK1014" s="154"/>
      <c r="BL1014" s="154"/>
      <c r="BM1014" s="154"/>
    </row>
    <row r="1015">
      <c r="A1015" s="154"/>
      <c r="B1015" s="154"/>
      <c r="C1015" s="305"/>
      <c r="D1015" s="305"/>
      <c r="E1015" s="305"/>
      <c r="F1015" s="154"/>
      <c r="G1015" s="154"/>
      <c r="H1015" s="154"/>
      <c r="I1015" s="154"/>
      <c r="J1015" s="154"/>
      <c r="K1015" s="154"/>
      <c r="L1015" s="154"/>
      <c r="M1015" s="154"/>
      <c r="N1015" s="154"/>
      <c r="O1015" s="154"/>
      <c r="P1015" s="154"/>
      <c r="Q1015" s="154"/>
      <c r="R1015" s="154"/>
      <c r="S1015" s="154"/>
      <c r="T1015" s="154"/>
      <c r="U1015" s="154"/>
      <c r="V1015" s="154"/>
      <c r="W1015" s="154"/>
      <c r="X1015" s="154"/>
      <c r="Y1015" s="154"/>
      <c r="Z1015" s="154"/>
      <c r="AA1015" s="154"/>
      <c r="AB1015" s="154"/>
      <c r="AC1015" s="154"/>
      <c r="AD1015" s="154"/>
      <c r="AE1015" s="154"/>
      <c r="AF1015" s="154"/>
      <c r="AG1015" s="154"/>
      <c r="AH1015" s="154"/>
      <c r="AI1015" s="154"/>
      <c r="AJ1015" s="154"/>
      <c r="AK1015" s="154"/>
      <c r="AL1015" s="154"/>
      <c r="AM1015" s="154"/>
      <c r="AN1015" s="154"/>
      <c r="AO1015" s="154"/>
      <c r="AP1015" s="154"/>
      <c r="AQ1015" s="154"/>
      <c r="AR1015" s="154"/>
      <c r="AS1015" s="154"/>
      <c r="AT1015" s="154"/>
      <c r="AU1015" s="154"/>
      <c r="AV1015" s="154"/>
      <c r="AW1015" s="154"/>
      <c r="AX1015" s="154"/>
      <c r="AY1015" s="154"/>
      <c r="AZ1015" s="154"/>
      <c r="BA1015" s="154"/>
      <c r="BB1015" s="154"/>
      <c r="BC1015" s="154"/>
      <c r="BD1015" s="154"/>
      <c r="BE1015" s="154"/>
      <c r="BF1015" s="154"/>
      <c r="BG1015" s="154"/>
      <c r="BH1015" s="154"/>
      <c r="BI1015" s="154"/>
      <c r="BJ1015" s="154"/>
      <c r="BK1015" s="154"/>
      <c r="BL1015" s="154"/>
      <c r="BM1015" s="154"/>
    </row>
    <row r="1016">
      <c r="A1016" s="154"/>
      <c r="B1016" s="154"/>
      <c r="C1016" s="305"/>
      <c r="D1016" s="305"/>
      <c r="E1016" s="305"/>
      <c r="F1016" s="154"/>
      <c r="G1016" s="154"/>
      <c r="H1016" s="154"/>
      <c r="I1016" s="154"/>
      <c r="J1016" s="154"/>
      <c r="K1016" s="154"/>
      <c r="L1016" s="154"/>
      <c r="M1016" s="154"/>
      <c r="N1016" s="154"/>
      <c r="O1016" s="154"/>
      <c r="P1016" s="154"/>
      <c r="Q1016" s="154"/>
      <c r="R1016" s="154"/>
      <c r="S1016" s="154"/>
      <c r="T1016" s="154"/>
      <c r="U1016" s="154"/>
      <c r="V1016" s="154"/>
      <c r="W1016" s="154"/>
      <c r="X1016" s="154"/>
      <c r="Y1016" s="154"/>
      <c r="Z1016" s="154"/>
      <c r="AA1016" s="154"/>
      <c r="AB1016" s="154"/>
      <c r="AC1016" s="154"/>
      <c r="AD1016" s="154"/>
      <c r="AE1016" s="154"/>
      <c r="AF1016" s="154"/>
      <c r="AG1016" s="154"/>
      <c r="AH1016" s="154"/>
      <c r="AI1016" s="154"/>
      <c r="AJ1016" s="154"/>
      <c r="AK1016" s="154"/>
      <c r="AL1016" s="154"/>
      <c r="AM1016" s="154"/>
      <c r="AN1016" s="154"/>
      <c r="AO1016" s="154"/>
      <c r="AP1016" s="154"/>
      <c r="AQ1016" s="154"/>
      <c r="AR1016" s="154"/>
      <c r="AS1016" s="154"/>
      <c r="AT1016" s="154"/>
      <c r="AU1016" s="154"/>
      <c r="AV1016" s="154"/>
      <c r="AW1016" s="154"/>
      <c r="AX1016" s="154"/>
      <c r="AY1016" s="154"/>
      <c r="AZ1016" s="154"/>
      <c r="BA1016" s="154"/>
      <c r="BB1016" s="154"/>
      <c r="BC1016" s="154"/>
      <c r="BD1016" s="154"/>
      <c r="BE1016" s="154"/>
      <c r="BF1016" s="154"/>
      <c r="BG1016" s="154"/>
      <c r="BH1016" s="154"/>
      <c r="BI1016" s="154"/>
      <c r="BJ1016" s="154"/>
      <c r="BK1016" s="154"/>
      <c r="BL1016" s="154"/>
      <c r="BM1016" s="154"/>
    </row>
    <row r="1017">
      <c r="A1017" s="154"/>
      <c r="B1017" s="154"/>
      <c r="C1017" s="305"/>
      <c r="D1017" s="305"/>
      <c r="E1017" s="305"/>
      <c r="F1017" s="154"/>
      <c r="G1017" s="154"/>
      <c r="H1017" s="154"/>
      <c r="I1017" s="154"/>
      <c r="J1017" s="154"/>
      <c r="K1017" s="154"/>
      <c r="L1017" s="154"/>
      <c r="M1017" s="154"/>
      <c r="N1017" s="154"/>
      <c r="O1017" s="154"/>
      <c r="P1017" s="154"/>
      <c r="Q1017" s="154"/>
      <c r="R1017" s="154"/>
      <c r="S1017" s="154"/>
      <c r="T1017" s="154"/>
      <c r="U1017" s="154"/>
      <c r="V1017" s="154"/>
      <c r="W1017" s="154"/>
      <c r="X1017" s="154"/>
      <c r="Y1017" s="154"/>
      <c r="Z1017" s="154"/>
      <c r="AA1017" s="154"/>
      <c r="AB1017" s="154"/>
      <c r="AC1017" s="154"/>
      <c r="AD1017" s="154"/>
      <c r="AE1017" s="154"/>
      <c r="AF1017" s="154"/>
      <c r="AG1017" s="154"/>
      <c r="AH1017" s="154"/>
      <c r="AI1017" s="154"/>
      <c r="AJ1017" s="154"/>
      <c r="AK1017" s="154"/>
      <c r="AL1017" s="154"/>
      <c r="AM1017" s="154"/>
      <c r="AN1017" s="154"/>
      <c r="AO1017" s="154"/>
      <c r="AP1017" s="154"/>
      <c r="AQ1017" s="154"/>
      <c r="AR1017" s="154"/>
      <c r="AS1017" s="154"/>
      <c r="AT1017" s="154"/>
      <c r="AU1017" s="154"/>
      <c r="AV1017" s="154"/>
      <c r="AW1017" s="154"/>
      <c r="AX1017" s="154"/>
      <c r="AY1017" s="154"/>
      <c r="AZ1017" s="154"/>
      <c r="BA1017" s="154"/>
      <c r="BB1017" s="154"/>
      <c r="BC1017" s="154"/>
      <c r="BD1017" s="154"/>
      <c r="BE1017" s="154"/>
      <c r="BF1017" s="154"/>
      <c r="BG1017" s="154"/>
      <c r="BH1017" s="154"/>
      <c r="BI1017" s="154"/>
      <c r="BJ1017" s="154"/>
      <c r="BK1017" s="154"/>
      <c r="BL1017" s="154"/>
      <c r="BM1017" s="154"/>
    </row>
    <row r="1018">
      <c r="A1018" s="154"/>
      <c r="B1018" s="154"/>
      <c r="C1018" s="305"/>
      <c r="D1018" s="305"/>
      <c r="E1018" s="305"/>
      <c r="F1018" s="154"/>
      <c r="G1018" s="154"/>
      <c r="H1018" s="154"/>
      <c r="I1018" s="154"/>
      <c r="J1018" s="154"/>
      <c r="K1018" s="154"/>
      <c r="L1018" s="154"/>
      <c r="M1018" s="154"/>
      <c r="N1018" s="154"/>
      <c r="O1018" s="154"/>
      <c r="P1018" s="154"/>
      <c r="Q1018" s="154"/>
      <c r="R1018" s="154"/>
      <c r="S1018" s="154"/>
      <c r="T1018" s="154"/>
      <c r="U1018" s="154"/>
      <c r="V1018" s="154"/>
      <c r="W1018" s="154"/>
      <c r="X1018" s="154"/>
      <c r="Y1018" s="154"/>
      <c r="Z1018" s="154"/>
      <c r="AA1018" s="154"/>
      <c r="AB1018" s="154"/>
      <c r="AC1018" s="154"/>
      <c r="AD1018" s="154"/>
      <c r="AE1018" s="154"/>
      <c r="AF1018" s="154"/>
      <c r="AG1018" s="154"/>
      <c r="AH1018" s="154"/>
      <c r="AI1018" s="154"/>
      <c r="AJ1018" s="154"/>
      <c r="AK1018" s="154"/>
      <c r="AL1018" s="154"/>
      <c r="AM1018" s="154"/>
      <c r="AN1018" s="154"/>
      <c r="AO1018" s="154"/>
      <c r="AP1018" s="154"/>
      <c r="AQ1018" s="154"/>
      <c r="AR1018" s="154"/>
      <c r="AS1018" s="154"/>
      <c r="AT1018" s="154"/>
      <c r="AU1018" s="154"/>
      <c r="AV1018" s="154"/>
      <c r="AW1018" s="154"/>
      <c r="AX1018" s="154"/>
      <c r="AY1018" s="154"/>
      <c r="AZ1018" s="154"/>
      <c r="BA1018" s="154"/>
      <c r="BB1018" s="154"/>
      <c r="BC1018" s="154"/>
      <c r="BD1018" s="154"/>
      <c r="BE1018" s="154"/>
      <c r="BF1018" s="154"/>
      <c r="BG1018" s="154"/>
      <c r="BH1018" s="154"/>
      <c r="BI1018" s="154"/>
      <c r="BJ1018" s="154"/>
      <c r="BK1018" s="154"/>
      <c r="BL1018" s="154"/>
      <c r="BM1018" s="154"/>
    </row>
    <row r="1019">
      <c r="A1019" s="154"/>
      <c r="B1019" s="154"/>
      <c r="C1019" s="305"/>
      <c r="D1019" s="305"/>
      <c r="E1019" s="305"/>
      <c r="F1019" s="154"/>
      <c r="G1019" s="154"/>
      <c r="H1019" s="154"/>
      <c r="I1019" s="154"/>
      <c r="J1019" s="154"/>
      <c r="K1019" s="154"/>
      <c r="L1019" s="154"/>
      <c r="M1019" s="154"/>
      <c r="N1019" s="154"/>
      <c r="O1019" s="154"/>
      <c r="P1019" s="154"/>
      <c r="Q1019" s="154"/>
      <c r="R1019" s="154"/>
      <c r="S1019" s="154"/>
      <c r="T1019" s="154"/>
      <c r="U1019" s="154"/>
      <c r="V1019" s="154"/>
      <c r="W1019" s="154"/>
      <c r="X1019" s="154"/>
      <c r="Y1019" s="154"/>
      <c r="Z1019" s="154"/>
      <c r="AA1019" s="154"/>
      <c r="AB1019" s="154"/>
      <c r="AC1019" s="154"/>
      <c r="AD1019" s="154"/>
      <c r="AE1019" s="154"/>
      <c r="AF1019" s="154"/>
      <c r="AG1019" s="154"/>
      <c r="AH1019" s="154"/>
      <c r="AI1019" s="154"/>
      <c r="AJ1019" s="154"/>
      <c r="AK1019" s="154"/>
      <c r="AL1019" s="154"/>
      <c r="AM1019" s="154"/>
      <c r="AN1019" s="154"/>
      <c r="AO1019" s="154"/>
      <c r="AP1019" s="154"/>
      <c r="AQ1019" s="154"/>
      <c r="AR1019" s="154"/>
      <c r="AS1019" s="154"/>
      <c r="AT1019" s="154"/>
      <c r="AU1019" s="154"/>
      <c r="AV1019" s="154"/>
      <c r="AW1019" s="154"/>
      <c r="AX1019" s="154"/>
      <c r="AY1019" s="154"/>
      <c r="AZ1019" s="154"/>
      <c r="BA1019" s="154"/>
      <c r="BB1019" s="154"/>
      <c r="BC1019" s="154"/>
      <c r="BD1019" s="154"/>
      <c r="BE1019" s="154"/>
      <c r="BF1019" s="154"/>
      <c r="BG1019" s="154"/>
      <c r="BH1019" s="154"/>
      <c r="BI1019" s="154"/>
      <c r="BJ1019" s="154"/>
      <c r="BK1019" s="154"/>
      <c r="BL1019" s="154"/>
      <c r="BM1019" s="154"/>
    </row>
    <row r="1020">
      <c r="A1020" s="154"/>
      <c r="B1020" s="154"/>
      <c r="C1020" s="305"/>
      <c r="D1020" s="305"/>
      <c r="E1020" s="305"/>
      <c r="F1020" s="154"/>
      <c r="G1020" s="154"/>
      <c r="H1020" s="154"/>
      <c r="I1020" s="154"/>
      <c r="J1020" s="154"/>
      <c r="K1020" s="154"/>
      <c r="L1020" s="154"/>
      <c r="M1020" s="154"/>
      <c r="N1020" s="154"/>
      <c r="O1020" s="154"/>
      <c r="P1020" s="154"/>
      <c r="Q1020" s="154"/>
      <c r="R1020" s="154"/>
      <c r="S1020" s="154"/>
      <c r="T1020" s="154"/>
      <c r="U1020" s="154"/>
      <c r="V1020" s="154"/>
      <c r="W1020" s="154"/>
      <c r="X1020" s="154"/>
      <c r="Y1020" s="154"/>
      <c r="Z1020" s="154"/>
      <c r="AA1020" s="154"/>
      <c r="AB1020" s="154"/>
      <c r="AC1020" s="154"/>
      <c r="AD1020" s="154"/>
      <c r="AE1020" s="154"/>
      <c r="AF1020" s="154"/>
      <c r="AG1020" s="154"/>
      <c r="AH1020" s="154"/>
      <c r="AI1020" s="154"/>
      <c r="AJ1020" s="154"/>
      <c r="AK1020" s="154"/>
      <c r="AL1020" s="154"/>
      <c r="AM1020" s="154"/>
      <c r="AN1020" s="154"/>
      <c r="AO1020" s="154"/>
      <c r="AP1020" s="154"/>
      <c r="AQ1020" s="154"/>
      <c r="AR1020" s="154"/>
      <c r="AS1020" s="154"/>
      <c r="AT1020" s="154"/>
      <c r="AU1020" s="154"/>
      <c r="AV1020" s="154"/>
      <c r="AW1020" s="154"/>
      <c r="AX1020" s="154"/>
      <c r="AY1020" s="154"/>
      <c r="AZ1020" s="154"/>
      <c r="BA1020" s="154"/>
      <c r="BB1020" s="154"/>
      <c r="BC1020" s="154"/>
      <c r="BD1020" s="154"/>
      <c r="BE1020" s="154"/>
      <c r="BF1020" s="154"/>
      <c r="BG1020" s="154"/>
      <c r="BH1020" s="154"/>
      <c r="BI1020" s="154"/>
      <c r="BJ1020" s="154"/>
      <c r="BK1020" s="154"/>
      <c r="BL1020" s="154"/>
      <c r="BM1020" s="154"/>
    </row>
    <row r="1021">
      <c r="A1021" s="154"/>
      <c r="B1021" s="154"/>
      <c r="C1021" s="305"/>
      <c r="D1021" s="305"/>
      <c r="E1021" s="305"/>
      <c r="F1021" s="154"/>
      <c r="G1021" s="154"/>
      <c r="H1021" s="154"/>
      <c r="I1021" s="154"/>
      <c r="J1021" s="154"/>
      <c r="K1021" s="154"/>
      <c r="L1021" s="154"/>
      <c r="M1021" s="154"/>
      <c r="N1021" s="154"/>
      <c r="O1021" s="154"/>
      <c r="P1021" s="154"/>
      <c r="Q1021" s="154"/>
      <c r="R1021" s="154"/>
      <c r="S1021" s="154"/>
      <c r="T1021" s="154"/>
      <c r="U1021" s="154"/>
      <c r="V1021" s="154"/>
      <c r="W1021" s="154"/>
      <c r="X1021" s="154"/>
      <c r="Y1021" s="154"/>
      <c r="Z1021" s="154"/>
      <c r="AA1021" s="154"/>
      <c r="AB1021" s="154"/>
      <c r="AC1021" s="154"/>
      <c r="AD1021" s="154"/>
      <c r="AE1021" s="154"/>
      <c r="AF1021" s="154"/>
      <c r="AG1021" s="154"/>
      <c r="AH1021" s="154"/>
      <c r="AI1021" s="154"/>
      <c r="AJ1021" s="154"/>
      <c r="AK1021" s="154"/>
      <c r="AL1021" s="154"/>
      <c r="AM1021" s="154"/>
      <c r="AN1021" s="154"/>
      <c r="AO1021" s="154"/>
      <c r="AP1021" s="154"/>
      <c r="AQ1021" s="154"/>
      <c r="AR1021" s="154"/>
      <c r="AS1021" s="154"/>
      <c r="AT1021" s="154"/>
      <c r="AU1021" s="154"/>
      <c r="AV1021" s="154"/>
      <c r="AW1021" s="154"/>
      <c r="AX1021" s="154"/>
      <c r="AY1021" s="154"/>
      <c r="AZ1021" s="154"/>
      <c r="BA1021" s="154"/>
      <c r="BB1021" s="154"/>
      <c r="BC1021" s="154"/>
      <c r="BD1021" s="154"/>
      <c r="BE1021" s="154"/>
      <c r="BF1021" s="154"/>
      <c r="BG1021" s="154"/>
      <c r="BH1021" s="154"/>
      <c r="BI1021" s="154"/>
      <c r="BJ1021" s="154"/>
      <c r="BK1021" s="154"/>
      <c r="BL1021" s="154"/>
      <c r="BM1021" s="154"/>
    </row>
    <row r="1022">
      <c r="A1022" s="154"/>
      <c r="B1022" s="154"/>
      <c r="C1022" s="305"/>
      <c r="D1022" s="305"/>
      <c r="E1022" s="305"/>
      <c r="F1022" s="154"/>
      <c r="G1022" s="154"/>
      <c r="H1022" s="154"/>
      <c r="I1022" s="154"/>
      <c r="J1022" s="154"/>
      <c r="K1022" s="154"/>
      <c r="L1022" s="154"/>
      <c r="M1022" s="154"/>
      <c r="N1022" s="154"/>
      <c r="O1022" s="154"/>
      <c r="P1022" s="154"/>
      <c r="Q1022" s="154"/>
      <c r="R1022" s="154"/>
      <c r="S1022" s="154"/>
      <c r="T1022" s="154"/>
      <c r="U1022" s="154"/>
      <c r="V1022" s="154"/>
      <c r="W1022" s="154"/>
      <c r="X1022" s="154"/>
      <c r="Y1022" s="154"/>
      <c r="Z1022" s="154"/>
      <c r="AA1022" s="154"/>
      <c r="AB1022" s="154"/>
      <c r="AC1022" s="154"/>
      <c r="AD1022" s="154"/>
      <c r="AE1022" s="154"/>
      <c r="AF1022" s="154"/>
      <c r="AG1022" s="154"/>
      <c r="AH1022" s="154"/>
      <c r="AI1022" s="154"/>
      <c r="AJ1022" s="154"/>
      <c r="AK1022" s="154"/>
      <c r="AL1022" s="154"/>
      <c r="AM1022" s="154"/>
      <c r="AN1022" s="154"/>
      <c r="AO1022" s="154"/>
      <c r="AP1022" s="154"/>
      <c r="AQ1022" s="154"/>
      <c r="AR1022" s="154"/>
      <c r="AS1022" s="154"/>
      <c r="AT1022" s="154"/>
      <c r="AU1022" s="154"/>
      <c r="AV1022" s="154"/>
      <c r="AW1022" s="154"/>
      <c r="AX1022" s="154"/>
      <c r="AY1022" s="154"/>
      <c r="AZ1022" s="154"/>
      <c r="BA1022" s="154"/>
      <c r="BB1022" s="154"/>
      <c r="BC1022" s="154"/>
      <c r="BD1022" s="154"/>
      <c r="BE1022" s="154"/>
      <c r="BF1022" s="154"/>
      <c r="BG1022" s="154"/>
      <c r="BH1022" s="154"/>
      <c r="BI1022" s="154"/>
      <c r="BJ1022" s="154"/>
      <c r="BK1022" s="154"/>
      <c r="BL1022" s="154"/>
      <c r="BM1022" s="154"/>
    </row>
    <row r="1023">
      <c r="A1023" s="154"/>
      <c r="B1023" s="154"/>
      <c r="C1023" s="305"/>
      <c r="D1023" s="305"/>
      <c r="E1023" s="305"/>
      <c r="F1023" s="154"/>
      <c r="G1023" s="154"/>
      <c r="H1023" s="154"/>
      <c r="I1023" s="154"/>
      <c r="J1023" s="154"/>
      <c r="K1023" s="154"/>
      <c r="L1023" s="154"/>
      <c r="M1023" s="154"/>
      <c r="N1023" s="154"/>
      <c r="O1023" s="154"/>
      <c r="P1023" s="154"/>
      <c r="Q1023" s="154"/>
      <c r="R1023" s="154"/>
      <c r="S1023" s="154"/>
      <c r="T1023" s="154"/>
      <c r="U1023" s="154"/>
      <c r="V1023" s="154"/>
      <c r="W1023" s="154"/>
      <c r="X1023" s="154"/>
      <c r="Y1023" s="154"/>
      <c r="Z1023" s="154"/>
      <c r="AA1023" s="154"/>
      <c r="AB1023" s="154"/>
      <c r="AC1023" s="154"/>
      <c r="AD1023" s="154"/>
      <c r="AE1023" s="154"/>
      <c r="AF1023" s="154"/>
      <c r="AG1023" s="154"/>
      <c r="AH1023" s="154"/>
      <c r="AI1023" s="154"/>
      <c r="AJ1023" s="154"/>
      <c r="AK1023" s="154"/>
      <c r="AL1023" s="154"/>
      <c r="AM1023" s="154"/>
      <c r="AN1023" s="154"/>
      <c r="AO1023" s="154"/>
      <c r="AP1023" s="154"/>
      <c r="AQ1023" s="154"/>
      <c r="AR1023" s="154"/>
      <c r="AS1023" s="154"/>
      <c r="AT1023" s="154"/>
      <c r="AU1023" s="154"/>
      <c r="AV1023" s="154"/>
      <c r="AW1023" s="154"/>
      <c r="AX1023" s="154"/>
      <c r="AY1023" s="154"/>
      <c r="AZ1023" s="154"/>
      <c r="BA1023" s="154"/>
      <c r="BB1023" s="154"/>
      <c r="BC1023" s="154"/>
      <c r="BD1023" s="154"/>
      <c r="BE1023" s="154"/>
      <c r="BF1023" s="154"/>
      <c r="BG1023" s="154"/>
      <c r="BH1023" s="154"/>
      <c r="BI1023" s="154"/>
      <c r="BJ1023" s="154"/>
      <c r="BK1023" s="154"/>
      <c r="BL1023" s="154"/>
      <c r="BM1023" s="154"/>
    </row>
    <row r="1024">
      <c r="A1024" s="154"/>
      <c r="B1024" s="154"/>
      <c r="C1024" s="305"/>
      <c r="D1024" s="305"/>
      <c r="E1024" s="305"/>
      <c r="F1024" s="154"/>
      <c r="G1024" s="154"/>
      <c r="H1024" s="154"/>
      <c r="I1024" s="154"/>
      <c r="J1024" s="154"/>
      <c r="K1024" s="154"/>
      <c r="L1024" s="154"/>
      <c r="M1024" s="154"/>
      <c r="N1024" s="154"/>
      <c r="O1024" s="154"/>
      <c r="P1024" s="154"/>
      <c r="Q1024" s="154"/>
      <c r="R1024" s="154"/>
      <c r="S1024" s="154"/>
      <c r="T1024" s="154"/>
      <c r="U1024" s="154"/>
      <c r="V1024" s="154"/>
      <c r="W1024" s="154"/>
      <c r="X1024" s="154"/>
      <c r="Y1024" s="154"/>
      <c r="Z1024" s="154"/>
      <c r="AA1024" s="154"/>
      <c r="AB1024" s="154"/>
      <c r="AC1024" s="154"/>
      <c r="AD1024" s="154"/>
      <c r="AE1024" s="154"/>
      <c r="AF1024" s="154"/>
      <c r="AG1024" s="154"/>
      <c r="AH1024" s="154"/>
      <c r="AI1024" s="154"/>
      <c r="AJ1024" s="154"/>
      <c r="AK1024" s="154"/>
      <c r="AL1024" s="154"/>
      <c r="AM1024" s="154"/>
      <c r="AN1024" s="154"/>
      <c r="AO1024" s="154"/>
      <c r="AP1024" s="154"/>
      <c r="AQ1024" s="154"/>
      <c r="AR1024" s="154"/>
      <c r="AS1024" s="154"/>
      <c r="AT1024" s="154"/>
      <c r="AU1024" s="154"/>
      <c r="AV1024" s="154"/>
      <c r="AW1024" s="154"/>
      <c r="AX1024" s="154"/>
      <c r="AY1024" s="154"/>
      <c r="AZ1024" s="154"/>
      <c r="BA1024" s="154"/>
      <c r="BB1024" s="154"/>
      <c r="BC1024" s="154"/>
      <c r="BD1024" s="154"/>
      <c r="BE1024" s="154"/>
      <c r="BF1024" s="154"/>
      <c r="BG1024" s="154"/>
      <c r="BH1024" s="154"/>
      <c r="BI1024" s="154"/>
      <c r="BJ1024" s="154"/>
      <c r="BK1024" s="154"/>
      <c r="BL1024" s="154"/>
      <c r="BM1024" s="154"/>
    </row>
    <row r="1025">
      <c r="A1025" s="154"/>
      <c r="B1025" s="154"/>
      <c r="C1025" s="305"/>
      <c r="D1025" s="305"/>
      <c r="E1025" s="305"/>
      <c r="F1025" s="154"/>
      <c r="G1025" s="154"/>
      <c r="H1025" s="154"/>
      <c r="I1025" s="154"/>
      <c r="J1025" s="154"/>
      <c r="K1025" s="154"/>
      <c r="L1025" s="154"/>
      <c r="M1025" s="154"/>
      <c r="N1025" s="154"/>
      <c r="O1025" s="154"/>
      <c r="P1025" s="154"/>
      <c r="Q1025" s="154"/>
      <c r="R1025" s="154"/>
      <c r="S1025" s="154"/>
      <c r="T1025" s="154"/>
      <c r="U1025" s="154"/>
      <c r="V1025" s="154"/>
      <c r="W1025" s="154"/>
      <c r="X1025" s="154"/>
      <c r="Y1025" s="154"/>
      <c r="Z1025" s="154"/>
      <c r="AA1025" s="154"/>
      <c r="AB1025" s="154"/>
      <c r="AC1025" s="154"/>
      <c r="AD1025" s="154"/>
      <c r="AE1025" s="154"/>
      <c r="AF1025" s="154"/>
      <c r="AG1025" s="154"/>
      <c r="AH1025" s="154"/>
      <c r="AI1025" s="154"/>
      <c r="AJ1025" s="154"/>
      <c r="AK1025" s="154"/>
      <c r="AL1025" s="154"/>
      <c r="AM1025" s="154"/>
      <c r="AN1025" s="154"/>
      <c r="AO1025" s="154"/>
      <c r="AP1025" s="154"/>
      <c r="AQ1025" s="154"/>
      <c r="AR1025" s="154"/>
      <c r="AS1025" s="154"/>
      <c r="AT1025" s="154"/>
      <c r="AU1025" s="154"/>
      <c r="AV1025" s="154"/>
      <c r="AW1025" s="154"/>
      <c r="AX1025" s="154"/>
      <c r="AY1025" s="154"/>
      <c r="AZ1025" s="154"/>
      <c r="BA1025" s="154"/>
      <c r="BB1025" s="154"/>
      <c r="BC1025" s="154"/>
      <c r="BD1025" s="154"/>
      <c r="BE1025" s="154"/>
      <c r="BF1025" s="154"/>
      <c r="BG1025" s="154"/>
      <c r="BH1025" s="154"/>
      <c r="BI1025" s="154"/>
      <c r="BJ1025" s="154"/>
      <c r="BK1025" s="154"/>
      <c r="BL1025" s="154"/>
      <c r="BM1025" s="154"/>
    </row>
    <row r="1026">
      <c r="A1026" s="154"/>
      <c r="B1026" s="154"/>
      <c r="C1026" s="305"/>
      <c r="D1026" s="305"/>
      <c r="E1026" s="305"/>
      <c r="F1026" s="154"/>
      <c r="G1026" s="154"/>
      <c r="H1026" s="154"/>
      <c r="I1026" s="154"/>
      <c r="J1026" s="154"/>
      <c r="K1026" s="154"/>
      <c r="L1026" s="154"/>
      <c r="M1026" s="154"/>
      <c r="N1026" s="154"/>
      <c r="O1026" s="154"/>
      <c r="P1026" s="154"/>
      <c r="Q1026" s="154"/>
      <c r="R1026" s="154"/>
      <c r="S1026" s="154"/>
      <c r="T1026" s="154"/>
      <c r="U1026" s="154"/>
      <c r="V1026" s="154"/>
      <c r="W1026" s="154"/>
      <c r="X1026" s="154"/>
      <c r="Y1026" s="154"/>
      <c r="Z1026" s="154"/>
      <c r="AA1026" s="154"/>
      <c r="AB1026" s="154"/>
      <c r="AC1026" s="154"/>
      <c r="AD1026" s="154"/>
      <c r="AE1026" s="154"/>
      <c r="AF1026" s="154"/>
      <c r="AG1026" s="154"/>
      <c r="AH1026" s="154"/>
      <c r="AI1026" s="154"/>
      <c r="AJ1026" s="154"/>
      <c r="AK1026" s="154"/>
      <c r="AL1026" s="154"/>
      <c r="AM1026" s="154"/>
      <c r="AN1026" s="154"/>
      <c r="AO1026" s="154"/>
      <c r="AP1026" s="154"/>
      <c r="AQ1026" s="154"/>
      <c r="AR1026" s="154"/>
      <c r="AS1026" s="154"/>
      <c r="AT1026" s="154"/>
      <c r="AU1026" s="154"/>
      <c r="AV1026" s="154"/>
      <c r="AW1026" s="154"/>
      <c r="AX1026" s="154"/>
      <c r="AY1026" s="154"/>
      <c r="AZ1026" s="154"/>
      <c r="BA1026" s="154"/>
      <c r="BB1026" s="154"/>
      <c r="BC1026" s="154"/>
      <c r="BD1026" s="154"/>
      <c r="BE1026" s="154"/>
      <c r="BF1026" s="154"/>
      <c r="BG1026" s="154"/>
      <c r="BH1026" s="154"/>
      <c r="BI1026" s="154"/>
      <c r="BJ1026" s="154"/>
      <c r="BK1026" s="154"/>
      <c r="BL1026" s="154"/>
      <c r="BM1026" s="154"/>
    </row>
    <row r="1027">
      <c r="A1027" s="154"/>
      <c r="B1027" s="154"/>
      <c r="C1027" s="305"/>
      <c r="D1027" s="305"/>
      <c r="E1027" s="305"/>
      <c r="F1027" s="154"/>
      <c r="G1027" s="154"/>
      <c r="H1027" s="154"/>
      <c r="I1027" s="154"/>
      <c r="J1027" s="154"/>
      <c r="K1027" s="154"/>
      <c r="L1027" s="154"/>
      <c r="M1027" s="154"/>
      <c r="N1027" s="154"/>
      <c r="O1027" s="154"/>
      <c r="P1027" s="154"/>
      <c r="Q1027" s="154"/>
      <c r="R1027" s="154"/>
      <c r="S1027" s="154"/>
      <c r="T1027" s="154"/>
      <c r="U1027" s="154"/>
      <c r="V1027" s="154"/>
      <c r="W1027" s="154"/>
      <c r="X1027" s="154"/>
      <c r="Y1027" s="154"/>
      <c r="Z1027" s="154"/>
      <c r="AA1027" s="154"/>
      <c r="AB1027" s="154"/>
      <c r="AC1027" s="154"/>
      <c r="AD1027" s="154"/>
      <c r="AE1027" s="154"/>
      <c r="AF1027" s="154"/>
      <c r="AG1027" s="154"/>
      <c r="AH1027" s="154"/>
      <c r="AI1027" s="154"/>
      <c r="AJ1027" s="154"/>
      <c r="AK1027" s="154"/>
      <c r="AL1027" s="154"/>
      <c r="AM1027" s="154"/>
      <c r="AN1027" s="154"/>
      <c r="AO1027" s="154"/>
      <c r="AP1027" s="154"/>
      <c r="AQ1027" s="154"/>
      <c r="AR1027" s="154"/>
      <c r="AS1027" s="154"/>
      <c r="AT1027" s="154"/>
      <c r="AU1027" s="154"/>
      <c r="AV1027" s="154"/>
      <c r="AW1027" s="154"/>
      <c r="AX1027" s="154"/>
      <c r="AY1027" s="154"/>
      <c r="AZ1027" s="154"/>
      <c r="BA1027" s="154"/>
      <c r="BB1027" s="154"/>
      <c r="BC1027" s="154"/>
      <c r="BD1027" s="154"/>
      <c r="BE1027" s="154"/>
      <c r="BF1027" s="154"/>
      <c r="BG1027" s="154"/>
      <c r="BH1027" s="154"/>
      <c r="BI1027" s="154"/>
      <c r="BJ1027" s="154"/>
      <c r="BK1027" s="154"/>
      <c r="BL1027" s="154"/>
      <c r="BM1027" s="154"/>
    </row>
    <row r="1028">
      <c r="A1028" s="154"/>
      <c r="B1028" s="154"/>
      <c r="C1028" s="305"/>
      <c r="D1028" s="305"/>
      <c r="E1028" s="305"/>
      <c r="F1028" s="154"/>
      <c r="G1028" s="154"/>
      <c r="H1028" s="154"/>
      <c r="I1028" s="154"/>
      <c r="J1028" s="154"/>
      <c r="K1028" s="154"/>
      <c r="L1028" s="154"/>
      <c r="M1028" s="154"/>
      <c r="N1028" s="154"/>
      <c r="O1028" s="154"/>
      <c r="P1028" s="154"/>
      <c r="Q1028" s="154"/>
      <c r="R1028" s="154"/>
      <c r="S1028" s="154"/>
      <c r="T1028" s="154"/>
      <c r="U1028" s="154"/>
      <c r="V1028" s="154"/>
      <c r="W1028" s="154"/>
      <c r="X1028" s="154"/>
      <c r="Y1028" s="154"/>
      <c r="Z1028" s="154"/>
      <c r="AA1028" s="154"/>
      <c r="AB1028" s="154"/>
      <c r="AC1028" s="154"/>
      <c r="AD1028" s="154"/>
      <c r="AE1028" s="154"/>
      <c r="AF1028" s="154"/>
      <c r="AG1028" s="154"/>
      <c r="AH1028" s="154"/>
      <c r="AI1028" s="154"/>
      <c r="AJ1028" s="154"/>
      <c r="AK1028" s="154"/>
      <c r="AL1028" s="154"/>
      <c r="AM1028" s="154"/>
      <c r="AN1028" s="154"/>
      <c r="AO1028" s="154"/>
      <c r="AP1028" s="154"/>
      <c r="AQ1028" s="154"/>
      <c r="AR1028" s="154"/>
      <c r="AS1028" s="154"/>
      <c r="AT1028" s="154"/>
      <c r="AU1028" s="154"/>
      <c r="AV1028" s="154"/>
      <c r="AW1028" s="154"/>
      <c r="AX1028" s="154"/>
      <c r="AY1028" s="154"/>
      <c r="AZ1028" s="154"/>
      <c r="BA1028" s="154"/>
      <c r="BB1028" s="154"/>
      <c r="BC1028" s="154"/>
      <c r="BD1028" s="154"/>
      <c r="BE1028" s="154"/>
      <c r="BF1028" s="154"/>
      <c r="BG1028" s="154"/>
      <c r="BH1028" s="154"/>
      <c r="BI1028" s="154"/>
      <c r="BJ1028" s="154"/>
      <c r="BK1028" s="154"/>
      <c r="BL1028" s="154"/>
      <c r="BM1028" s="154"/>
    </row>
    <row r="1029">
      <c r="A1029" s="154"/>
      <c r="B1029" s="154"/>
      <c r="C1029" s="305"/>
      <c r="D1029" s="305"/>
      <c r="E1029" s="305"/>
      <c r="F1029" s="154"/>
      <c r="G1029" s="154"/>
      <c r="H1029" s="154"/>
      <c r="I1029" s="154"/>
      <c r="J1029" s="154"/>
      <c r="K1029" s="154"/>
      <c r="L1029" s="154"/>
      <c r="M1029" s="154"/>
      <c r="N1029" s="154"/>
      <c r="O1029" s="154"/>
      <c r="P1029" s="154"/>
      <c r="Q1029" s="154"/>
      <c r="R1029" s="154"/>
      <c r="S1029" s="154"/>
      <c r="T1029" s="154"/>
      <c r="U1029" s="154"/>
      <c r="V1029" s="154"/>
      <c r="W1029" s="154"/>
      <c r="X1029" s="154"/>
      <c r="Y1029" s="154"/>
      <c r="Z1029" s="154"/>
      <c r="AA1029" s="154"/>
      <c r="AB1029" s="154"/>
      <c r="AC1029" s="154"/>
      <c r="AD1029" s="154"/>
      <c r="AE1029" s="154"/>
      <c r="AF1029" s="154"/>
      <c r="AG1029" s="154"/>
      <c r="AH1029" s="154"/>
      <c r="AI1029" s="154"/>
      <c r="AJ1029" s="154"/>
      <c r="AK1029" s="154"/>
      <c r="AL1029" s="154"/>
      <c r="AM1029" s="154"/>
      <c r="AN1029" s="154"/>
      <c r="AO1029" s="154"/>
      <c r="AP1029" s="154"/>
      <c r="AQ1029" s="154"/>
      <c r="AR1029" s="154"/>
      <c r="AS1029" s="154"/>
      <c r="AT1029" s="154"/>
      <c r="AU1029" s="154"/>
      <c r="AV1029" s="154"/>
      <c r="AW1029" s="154"/>
      <c r="AX1029" s="154"/>
      <c r="AY1029" s="154"/>
      <c r="AZ1029" s="154"/>
      <c r="BA1029" s="154"/>
      <c r="BB1029" s="154"/>
      <c r="BC1029" s="154"/>
      <c r="BD1029" s="154"/>
      <c r="BE1029" s="154"/>
      <c r="BF1029" s="154"/>
      <c r="BG1029" s="154"/>
      <c r="BH1029" s="154"/>
      <c r="BI1029" s="154"/>
      <c r="BJ1029" s="154"/>
      <c r="BK1029" s="154"/>
      <c r="BL1029" s="154"/>
      <c r="BM1029" s="154"/>
    </row>
    <row r="1030">
      <c r="A1030" s="154"/>
      <c r="B1030" s="154"/>
      <c r="C1030" s="305"/>
      <c r="D1030" s="305"/>
      <c r="E1030" s="305"/>
      <c r="F1030" s="154"/>
      <c r="G1030" s="154"/>
      <c r="H1030" s="154"/>
      <c r="I1030" s="154"/>
      <c r="J1030" s="154"/>
      <c r="K1030" s="154"/>
      <c r="L1030" s="154"/>
      <c r="M1030" s="154"/>
      <c r="N1030" s="154"/>
      <c r="O1030" s="154"/>
      <c r="P1030" s="154"/>
      <c r="Q1030" s="154"/>
      <c r="R1030" s="154"/>
      <c r="S1030" s="154"/>
      <c r="T1030" s="154"/>
      <c r="U1030" s="154"/>
      <c r="V1030" s="154"/>
      <c r="W1030" s="154"/>
      <c r="X1030" s="154"/>
      <c r="Y1030" s="154"/>
      <c r="Z1030" s="154"/>
      <c r="AA1030" s="154"/>
      <c r="AB1030" s="154"/>
      <c r="AC1030" s="154"/>
      <c r="AD1030" s="154"/>
      <c r="AE1030" s="154"/>
      <c r="AF1030" s="154"/>
      <c r="AG1030" s="154"/>
      <c r="AH1030" s="154"/>
      <c r="AI1030" s="154"/>
      <c r="AJ1030" s="154"/>
      <c r="AK1030" s="154"/>
      <c r="AL1030" s="154"/>
      <c r="AM1030" s="154"/>
      <c r="AN1030" s="154"/>
      <c r="AO1030" s="154"/>
      <c r="AP1030" s="154"/>
      <c r="AQ1030" s="154"/>
      <c r="AR1030" s="154"/>
      <c r="AS1030" s="154"/>
      <c r="AT1030" s="154"/>
      <c r="AU1030" s="154"/>
      <c r="AV1030" s="154"/>
      <c r="AW1030" s="154"/>
      <c r="AX1030" s="154"/>
      <c r="AY1030" s="154"/>
      <c r="AZ1030" s="154"/>
      <c r="BA1030" s="154"/>
      <c r="BB1030" s="154"/>
      <c r="BC1030" s="154"/>
      <c r="BD1030" s="154"/>
      <c r="BE1030" s="154"/>
      <c r="BF1030" s="154"/>
      <c r="BG1030" s="154"/>
      <c r="BH1030" s="154"/>
      <c r="BI1030" s="154"/>
      <c r="BJ1030" s="154"/>
      <c r="BK1030" s="154"/>
      <c r="BL1030" s="154"/>
      <c r="BM1030" s="154"/>
    </row>
    <row r="1031">
      <c r="A1031" s="154"/>
      <c r="B1031" s="154"/>
      <c r="C1031" s="305"/>
      <c r="D1031" s="305"/>
      <c r="E1031" s="305"/>
      <c r="F1031" s="154"/>
      <c r="G1031" s="154"/>
      <c r="H1031" s="154"/>
      <c r="I1031" s="154"/>
      <c r="J1031" s="154"/>
      <c r="K1031" s="154"/>
      <c r="L1031" s="154"/>
      <c r="M1031" s="154"/>
      <c r="N1031" s="154"/>
      <c r="O1031" s="154"/>
      <c r="P1031" s="154"/>
      <c r="Q1031" s="154"/>
      <c r="R1031" s="154"/>
      <c r="S1031" s="154"/>
      <c r="T1031" s="154"/>
      <c r="U1031" s="154"/>
      <c r="V1031" s="154"/>
      <c r="W1031" s="154"/>
      <c r="X1031" s="154"/>
      <c r="Y1031" s="154"/>
      <c r="Z1031" s="154"/>
      <c r="AA1031" s="154"/>
      <c r="AB1031" s="154"/>
      <c r="AC1031" s="154"/>
      <c r="AD1031" s="154"/>
      <c r="AE1031" s="154"/>
      <c r="AF1031" s="154"/>
      <c r="AG1031" s="154"/>
      <c r="AH1031" s="154"/>
      <c r="AI1031" s="154"/>
      <c r="AJ1031" s="154"/>
      <c r="AK1031" s="154"/>
      <c r="AL1031" s="154"/>
      <c r="AM1031" s="154"/>
      <c r="AN1031" s="154"/>
      <c r="AO1031" s="154"/>
      <c r="AP1031" s="154"/>
      <c r="AQ1031" s="154"/>
      <c r="AR1031" s="154"/>
      <c r="AS1031" s="154"/>
      <c r="AT1031" s="154"/>
      <c r="AU1031" s="154"/>
      <c r="AV1031" s="154"/>
      <c r="AW1031" s="154"/>
      <c r="AX1031" s="154"/>
      <c r="AY1031" s="154"/>
      <c r="AZ1031" s="154"/>
      <c r="BA1031" s="154"/>
      <c r="BB1031" s="154"/>
      <c r="BC1031" s="154"/>
      <c r="BD1031" s="154"/>
      <c r="BE1031" s="154"/>
      <c r="BF1031" s="154"/>
      <c r="BG1031" s="154"/>
      <c r="BH1031" s="154"/>
      <c r="BI1031" s="154"/>
      <c r="BJ1031" s="154"/>
      <c r="BK1031" s="154"/>
      <c r="BL1031" s="154"/>
      <c r="BM1031" s="154"/>
    </row>
    <row r="1032">
      <c r="A1032" s="154"/>
      <c r="B1032" s="154"/>
      <c r="C1032" s="305"/>
      <c r="D1032" s="305"/>
      <c r="E1032" s="305"/>
      <c r="F1032" s="154"/>
      <c r="G1032" s="154"/>
      <c r="H1032" s="154"/>
      <c r="I1032" s="154"/>
      <c r="J1032" s="154"/>
      <c r="K1032" s="154"/>
      <c r="L1032" s="154"/>
      <c r="M1032" s="154"/>
      <c r="N1032" s="154"/>
      <c r="O1032" s="154"/>
      <c r="P1032" s="154"/>
      <c r="Q1032" s="154"/>
      <c r="R1032" s="154"/>
      <c r="S1032" s="154"/>
      <c r="T1032" s="154"/>
      <c r="U1032" s="154"/>
      <c r="V1032" s="154"/>
      <c r="W1032" s="154"/>
      <c r="X1032" s="154"/>
      <c r="Y1032" s="154"/>
      <c r="Z1032" s="154"/>
      <c r="AA1032" s="154"/>
      <c r="AB1032" s="154"/>
      <c r="AC1032" s="154"/>
      <c r="AD1032" s="154"/>
      <c r="AE1032" s="154"/>
      <c r="AF1032" s="154"/>
      <c r="AG1032" s="154"/>
      <c r="AH1032" s="154"/>
      <c r="AI1032" s="154"/>
      <c r="AJ1032" s="154"/>
      <c r="AK1032" s="154"/>
      <c r="AL1032" s="154"/>
      <c r="AM1032" s="154"/>
      <c r="AN1032" s="154"/>
      <c r="AO1032" s="154"/>
      <c r="AP1032" s="154"/>
      <c r="AQ1032" s="154"/>
      <c r="AR1032" s="154"/>
      <c r="AS1032" s="154"/>
      <c r="AT1032" s="154"/>
      <c r="AU1032" s="154"/>
      <c r="AV1032" s="154"/>
      <c r="AW1032" s="154"/>
      <c r="AX1032" s="154"/>
      <c r="AY1032" s="154"/>
      <c r="AZ1032" s="154"/>
      <c r="BA1032" s="154"/>
      <c r="BB1032" s="154"/>
      <c r="BC1032" s="154"/>
      <c r="BD1032" s="154"/>
      <c r="BE1032" s="154"/>
      <c r="BF1032" s="154"/>
      <c r="BG1032" s="154"/>
      <c r="BH1032" s="154"/>
      <c r="BI1032" s="154"/>
      <c r="BJ1032" s="154"/>
      <c r="BK1032" s="154"/>
      <c r="BL1032" s="154"/>
      <c r="BM1032" s="154"/>
    </row>
    <row r="1033">
      <c r="A1033" s="154"/>
      <c r="B1033" s="154"/>
      <c r="C1033" s="305"/>
      <c r="D1033" s="305"/>
      <c r="E1033" s="305"/>
      <c r="F1033" s="154"/>
      <c r="G1033" s="154"/>
      <c r="H1033" s="154"/>
      <c r="I1033" s="154"/>
      <c r="J1033" s="154"/>
      <c r="K1033" s="154"/>
      <c r="L1033" s="154"/>
      <c r="M1033" s="154"/>
      <c r="N1033" s="154"/>
      <c r="O1033" s="154"/>
      <c r="P1033" s="154"/>
      <c r="Q1033" s="154"/>
      <c r="R1033" s="154"/>
      <c r="S1033" s="154"/>
      <c r="T1033" s="154"/>
      <c r="U1033" s="154"/>
      <c r="V1033" s="154"/>
      <c r="W1033" s="154"/>
      <c r="X1033" s="154"/>
      <c r="Y1033" s="154"/>
      <c r="Z1033" s="154"/>
      <c r="AA1033" s="154"/>
      <c r="AB1033" s="154"/>
      <c r="AC1033" s="154"/>
      <c r="AD1033" s="154"/>
      <c r="AE1033" s="154"/>
      <c r="AF1033" s="154"/>
      <c r="AG1033" s="154"/>
      <c r="AH1033" s="154"/>
      <c r="AI1033" s="154"/>
      <c r="AJ1033" s="154"/>
      <c r="AK1033" s="154"/>
      <c r="AL1033" s="154"/>
      <c r="AM1033" s="154"/>
      <c r="AN1033" s="154"/>
      <c r="AO1033" s="154"/>
      <c r="AP1033" s="154"/>
      <c r="AQ1033" s="154"/>
      <c r="AR1033" s="154"/>
      <c r="AS1033" s="154"/>
      <c r="AT1033" s="154"/>
      <c r="AU1033" s="154"/>
      <c r="AV1033" s="154"/>
      <c r="AW1033" s="154"/>
      <c r="AX1033" s="154"/>
      <c r="AY1033" s="154"/>
      <c r="AZ1033" s="154"/>
      <c r="BA1033" s="154"/>
      <c r="BB1033" s="154"/>
      <c r="BC1033" s="154"/>
      <c r="BD1033" s="154"/>
      <c r="BE1033" s="154"/>
      <c r="BF1033" s="154"/>
      <c r="BG1033" s="154"/>
      <c r="BH1033" s="154"/>
      <c r="BI1033" s="154"/>
      <c r="BJ1033" s="154"/>
      <c r="BK1033" s="154"/>
      <c r="BL1033" s="154"/>
      <c r="BM1033" s="154"/>
    </row>
    <row r="1034">
      <c r="A1034" s="154"/>
      <c r="B1034" s="154"/>
      <c r="C1034" s="305"/>
      <c r="D1034" s="305"/>
      <c r="E1034" s="305"/>
      <c r="F1034" s="154"/>
      <c r="G1034" s="154"/>
      <c r="H1034" s="154"/>
      <c r="I1034" s="154"/>
      <c r="J1034" s="154"/>
      <c r="K1034" s="154"/>
      <c r="L1034" s="154"/>
      <c r="M1034" s="154"/>
      <c r="N1034" s="154"/>
      <c r="O1034" s="154"/>
      <c r="P1034" s="154"/>
      <c r="Q1034" s="154"/>
      <c r="R1034" s="154"/>
      <c r="S1034" s="154"/>
      <c r="T1034" s="154"/>
      <c r="U1034" s="154"/>
      <c r="V1034" s="154"/>
      <c r="W1034" s="154"/>
      <c r="X1034" s="154"/>
      <c r="Y1034" s="154"/>
      <c r="Z1034" s="154"/>
      <c r="AA1034" s="154"/>
      <c r="AB1034" s="154"/>
      <c r="AC1034" s="154"/>
      <c r="AD1034" s="154"/>
      <c r="AE1034" s="154"/>
      <c r="AF1034" s="154"/>
      <c r="AG1034" s="154"/>
      <c r="AH1034" s="154"/>
      <c r="AI1034" s="154"/>
      <c r="AJ1034" s="154"/>
      <c r="AK1034" s="154"/>
      <c r="AL1034" s="154"/>
      <c r="AM1034" s="154"/>
      <c r="AN1034" s="154"/>
      <c r="AO1034" s="154"/>
      <c r="AP1034" s="154"/>
      <c r="AQ1034" s="154"/>
      <c r="AR1034" s="154"/>
      <c r="AS1034" s="154"/>
      <c r="AT1034" s="154"/>
      <c r="AU1034" s="154"/>
      <c r="AV1034" s="154"/>
      <c r="AW1034" s="154"/>
      <c r="AX1034" s="154"/>
      <c r="AY1034" s="154"/>
      <c r="AZ1034" s="154"/>
      <c r="BA1034" s="154"/>
      <c r="BB1034" s="154"/>
      <c r="BC1034" s="154"/>
      <c r="BD1034" s="154"/>
      <c r="BE1034" s="154"/>
      <c r="BF1034" s="154"/>
      <c r="BG1034" s="154"/>
      <c r="BH1034" s="154"/>
      <c r="BI1034" s="154"/>
      <c r="BJ1034" s="154"/>
      <c r="BK1034" s="154"/>
      <c r="BL1034" s="154"/>
      <c r="BM1034" s="154"/>
    </row>
    <row r="1035">
      <c r="A1035" s="154"/>
      <c r="B1035" s="154"/>
      <c r="C1035" s="305"/>
      <c r="D1035" s="305"/>
      <c r="E1035" s="305"/>
      <c r="F1035" s="154"/>
      <c r="G1035" s="154"/>
      <c r="H1035" s="154"/>
      <c r="I1035" s="154"/>
      <c r="J1035" s="154"/>
      <c r="K1035" s="154"/>
      <c r="L1035" s="154"/>
      <c r="M1035" s="154"/>
      <c r="N1035" s="154"/>
      <c r="O1035" s="154"/>
      <c r="P1035" s="154"/>
      <c r="Q1035" s="154"/>
      <c r="R1035" s="154"/>
      <c r="S1035" s="154"/>
      <c r="T1035" s="154"/>
      <c r="U1035" s="154"/>
      <c r="V1035" s="154"/>
      <c r="W1035" s="154"/>
      <c r="X1035" s="154"/>
      <c r="Y1035" s="154"/>
      <c r="Z1035" s="154"/>
      <c r="AA1035" s="154"/>
      <c r="AB1035" s="154"/>
      <c r="AC1035" s="154"/>
      <c r="AD1035" s="154"/>
      <c r="AE1035" s="154"/>
      <c r="AF1035" s="154"/>
      <c r="AG1035" s="154"/>
      <c r="AH1035" s="154"/>
      <c r="AI1035" s="154"/>
      <c r="AJ1035" s="154"/>
      <c r="AK1035" s="154"/>
      <c r="AL1035" s="154"/>
      <c r="AM1035" s="154"/>
      <c r="AN1035" s="154"/>
      <c r="AO1035" s="154"/>
      <c r="AP1035" s="154"/>
      <c r="AQ1035" s="154"/>
      <c r="AR1035" s="154"/>
      <c r="AS1035" s="154"/>
      <c r="AT1035" s="154"/>
      <c r="AU1035" s="154"/>
      <c r="AV1035" s="154"/>
      <c r="AW1035" s="154"/>
      <c r="AX1035" s="154"/>
      <c r="AY1035" s="154"/>
      <c r="AZ1035" s="154"/>
      <c r="BA1035" s="154"/>
      <c r="BB1035" s="154"/>
      <c r="BC1035" s="154"/>
      <c r="BD1035" s="154"/>
      <c r="BE1035" s="154"/>
      <c r="BF1035" s="154"/>
      <c r="BG1035" s="154"/>
      <c r="BH1035" s="154"/>
      <c r="BI1035" s="154"/>
      <c r="BJ1035" s="154"/>
      <c r="BK1035" s="154"/>
      <c r="BL1035" s="154"/>
      <c r="BM1035" s="154"/>
    </row>
    <row r="1036">
      <c r="A1036" s="154"/>
      <c r="B1036" s="154"/>
      <c r="C1036" s="305"/>
      <c r="D1036" s="305"/>
      <c r="E1036" s="305"/>
      <c r="F1036" s="154"/>
      <c r="G1036" s="154"/>
      <c r="H1036" s="154"/>
      <c r="I1036" s="154"/>
      <c r="J1036" s="154"/>
      <c r="K1036" s="154"/>
      <c r="L1036" s="154"/>
      <c r="M1036" s="154"/>
      <c r="N1036" s="154"/>
      <c r="O1036" s="154"/>
      <c r="P1036" s="154"/>
      <c r="Q1036" s="154"/>
      <c r="R1036" s="154"/>
      <c r="S1036" s="154"/>
      <c r="T1036" s="154"/>
      <c r="U1036" s="154"/>
      <c r="V1036" s="154"/>
      <c r="W1036" s="154"/>
      <c r="X1036" s="154"/>
      <c r="Y1036" s="154"/>
      <c r="Z1036" s="154"/>
      <c r="AA1036" s="154"/>
      <c r="AB1036" s="154"/>
      <c r="AC1036" s="154"/>
      <c r="AD1036" s="154"/>
      <c r="AE1036" s="154"/>
      <c r="AF1036" s="154"/>
      <c r="AG1036" s="154"/>
      <c r="AH1036" s="154"/>
      <c r="AI1036" s="154"/>
      <c r="AJ1036" s="154"/>
      <c r="AK1036" s="154"/>
      <c r="AL1036" s="154"/>
      <c r="AM1036" s="154"/>
      <c r="AN1036" s="154"/>
      <c r="AO1036" s="154"/>
      <c r="AP1036" s="154"/>
      <c r="AQ1036" s="154"/>
      <c r="AR1036" s="154"/>
      <c r="AS1036" s="154"/>
      <c r="AT1036" s="154"/>
      <c r="AU1036" s="154"/>
      <c r="AV1036" s="154"/>
      <c r="AW1036" s="154"/>
      <c r="AX1036" s="154"/>
      <c r="AY1036" s="154"/>
      <c r="AZ1036" s="154"/>
      <c r="BA1036" s="154"/>
      <c r="BB1036" s="154"/>
      <c r="BC1036" s="154"/>
      <c r="BD1036" s="154"/>
      <c r="BE1036" s="154"/>
      <c r="BF1036" s="154"/>
      <c r="BG1036" s="154"/>
      <c r="BH1036" s="154"/>
      <c r="BI1036" s="154"/>
      <c r="BJ1036" s="154"/>
      <c r="BK1036" s="154"/>
      <c r="BL1036" s="154"/>
      <c r="BM1036" s="154"/>
    </row>
    <row r="1037">
      <c r="A1037" s="154"/>
      <c r="B1037" s="154"/>
      <c r="C1037" s="305"/>
      <c r="D1037" s="305"/>
      <c r="E1037" s="305"/>
      <c r="F1037" s="154"/>
      <c r="G1037" s="154"/>
      <c r="H1037" s="154"/>
      <c r="I1037" s="154"/>
      <c r="J1037" s="154"/>
      <c r="K1037" s="154"/>
      <c r="L1037" s="154"/>
      <c r="M1037" s="154"/>
      <c r="N1037" s="154"/>
      <c r="O1037" s="154"/>
      <c r="P1037" s="154"/>
      <c r="Q1037" s="154"/>
      <c r="R1037" s="154"/>
      <c r="S1037" s="154"/>
      <c r="T1037" s="154"/>
      <c r="U1037" s="154"/>
      <c r="V1037" s="154"/>
      <c r="W1037" s="154"/>
      <c r="X1037" s="154"/>
      <c r="Y1037" s="154"/>
      <c r="Z1037" s="154"/>
      <c r="AA1037" s="154"/>
      <c r="AB1037" s="154"/>
      <c r="AC1037" s="154"/>
      <c r="AD1037" s="154"/>
      <c r="AE1037" s="154"/>
      <c r="AF1037" s="154"/>
      <c r="AG1037" s="154"/>
      <c r="AH1037" s="154"/>
      <c r="AI1037" s="154"/>
      <c r="AJ1037" s="154"/>
      <c r="AK1037" s="154"/>
      <c r="AL1037" s="154"/>
      <c r="AM1037" s="154"/>
      <c r="AN1037" s="154"/>
      <c r="AO1037" s="154"/>
      <c r="AP1037" s="154"/>
      <c r="AQ1037" s="154"/>
      <c r="AR1037" s="154"/>
      <c r="AS1037" s="154"/>
      <c r="AT1037" s="154"/>
      <c r="AU1037" s="154"/>
      <c r="AV1037" s="154"/>
      <c r="AW1037" s="154"/>
      <c r="AX1037" s="154"/>
      <c r="AY1037" s="154"/>
      <c r="AZ1037" s="154"/>
      <c r="BA1037" s="154"/>
      <c r="BB1037" s="154"/>
      <c r="BC1037" s="154"/>
      <c r="BD1037" s="154"/>
      <c r="BE1037" s="154"/>
      <c r="BF1037" s="154"/>
      <c r="BG1037" s="154"/>
      <c r="BH1037" s="154"/>
      <c r="BI1037" s="154"/>
      <c r="BJ1037" s="154"/>
      <c r="BK1037" s="154"/>
      <c r="BL1037" s="154"/>
      <c r="BM1037" s="154"/>
    </row>
    <row r="1038">
      <c r="A1038" s="154"/>
      <c r="B1038" s="154"/>
      <c r="C1038" s="305"/>
      <c r="D1038" s="305"/>
      <c r="E1038" s="305"/>
      <c r="F1038" s="154"/>
      <c r="G1038" s="154"/>
      <c r="H1038" s="154"/>
      <c r="I1038" s="154"/>
      <c r="J1038" s="154"/>
      <c r="K1038" s="154"/>
      <c r="L1038" s="154"/>
      <c r="M1038" s="154"/>
      <c r="N1038" s="154"/>
      <c r="O1038" s="154"/>
      <c r="P1038" s="154"/>
      <c r="Q1038" s="154"/>
      <c r="R1038" s="154"/>
      <c r="S1038" s="154"/>
      <c r="T1038" s="154"/>
      <c r="U1038" s="154"/>
      <c r="V1038" s="154"/>
      <c r="W1038" s="154"/>
      <c r="X1038" s="154"/>
      <c r="Y1038" s="154"/>
      <c r="Z1038" s="154"/>
      <c r="AA1038" s="154"/>
      <c r="AB1038" s="154"/>
      <c r="AC1038" s="154"/>
      <c r="AD1038" s="154"/>
      <c r="AE1038" s="154"/>
      <c r="AF1038" s="154"/>
      <c r="AG1038" s="154"/>
      <c r="AH1038" s="154"/>
      <c r="AI1038" s="154"/>
      <c r="AJ1038" s="154"/>
      <c r="AK1038" s="154"/>
      <c r="AL1038" s="154"/>
      <c r="AM1038" s="154"/>
      <c r="AN1038" s="154"/>
      <c r="AO1038" s="154"/>
      <c r="AP1038" s="154"/>
      <c r="AQ1038" s="154"/>
      <c r="AR1038" s="154"/>
      <c r="AS1038" s="154"/>
      <c r="AT1038" s="154"/>
      <c r="AU1038" s="154"/>
      <c r="AV1038" s="154"/>
      <c r="AW1038" s="154"/>
      <c r="AX1038" s="154"/>
      <c r="AY1038" s="154"/>
      <c r="AZ1038" s="154"/>
      <c r="BA1038" s="154"/>
      <c r="BB1038" s="154"/>
      <c r="BC1038" s="154"/>
      <c r="BD1038" s="154"/>
      <c r="BE1038" s="154"/>
      <c r="BF1038" s="154"/>
      <c r="BG1038" s="154"/>
      <c r="BH1038" s="154"/>
      <c r="BI1038" s="154"/>
      <c r="BJ1038" s="154"/>
      <c r="BK1038" s="154"/>
      <c r="BL1038" s="154"/>
      <c r="BM1038" s="154"/>
    </row>
    <row r="1039">
      <c r="A1039" s="154"/>
      <c r="B1039" s="154"/>
      <c r="C1039" s="305"/>
      <c r="D1039" s="305"/>
      <c r="E1039" s="305"/>
      <c r="F1039" s="154"/>
      <c r="G1039" s="154"/>
      <c r="H1039" s="154"/>
      <c r="I1039" s="154"/>
      <c r="J1039" s="154"/>
      <c r="K1039" s="154"/>
      <c r="L1039" s="154"/>
      <c r="M1039" s="154"/>
      <c r="N1039" s="154"/>
      <c r="O1039" s="154"/>
      <c r="P1039" s="154"/>
      <c r="Q1039" s="154"/>
      <c r="R1039" s="154"/>
      <c r="S1039" s="154"/>
      <c r="T1039" s="154"/>
      <c r="U1039" s="154"/>
      <c r="V1039" s="154"/>
      <c r="W1039" s="154"/>
      <c r="X1039" s="154"/>
      <c r="Y1039" s="154"/>
      <c r="Z1039" s="154"/>
      <c r="AA1039" s="154"/>
      <c r="AB1039" s="154"/>
      <c r="AC1039" s="154"/>
      <c r="AD1039" s="154"/>
      <c r="AE1039" s="154"/>
      <c r="AF1039" s="154"/>
      <c r="AG1039" s="154"/>
      <c r="AH1039" s="154"/>
      <c r="AI1039" s="154"/>
      <c r="AJ1039" s="154"/>
      <c r="AK1039" s="154"/>
      <c r="AL1039" s="154"/>
      <c r="AM1039" s="154"/>
      <c r="AN1039" s="154"/>
      <c r="AO1039" s="154"/>
      <c r="AP1039" s="154"/>
      <c r="AQ1039" s="154"/>
      <c r="AR1039" s="154"/>
      <c r="AS1039" s="154"/>
      <c r="AT1039" s="154"/>
      <c r="AU1039" s="154"/>
      <c r="AV1039" s="154"/>
      <c r="AW1039" s="154"/>
      <c r="AX1039" s="154"/>
      <c r="AY1039" s="154"/>
      <c r="AZ1039" s="154"/>
      <c r="BA1039" s="154"/>
      <c r="BB1039" s="154"/>
      <c r="BC1039" s="154"/>
      <c r="BD1039" s="154"/>
      <c r="BE1039" s="154"/>
      <c r="BF1039" s="154"/>
      <c r="BG1039" s="154"/>
      <c r="BH1039" s="154"/>
      <c r="BI1039" s="154"/>
      <c r="BJ1039" s="154"/>
      <c r="BK1039" s="154"/>
      <c r="BL1039" s="154"/>
      <c r="BM1039" s="154"/>
    </row>
    <row r="1040">
      <c r="A1040" s="154"/>
      <c r="B1040" s="154"/>
      <c r="C1040" s="305"/>
      <c r="D1040" s="305"/>
      <c r="E1040" s="305"/>
      <c r="F1040" s="154"/>
      <c r="G1040" s="154"/>
      <c r="H1040" s="154"/>
      <c r="I1040" s="154"/>
      <c r="J1040" s="154"/>
      <c r="K1040" s="154"/>
      <c r="L1040" s="154"/>
      <c r="M1040" s="154"/>
      <c r="N1040" s="154"/>
      <c r="O1040" s="154"/>
      <c r="P1040" s="154"/>
      <c r="Q1040" s="154"/>
      <c r="R1040" s="154"/>
      <c r="S1040" s="154"/>
      <c r="T1040" s="154"/>
      <c r="U1040" s="154"/>
      <c r="V1040" s="154"/>
      <c r="W1040" s="154"/>
      <c r="X1040" s="154"/>
      <c r="Y1040" s="154"/>
      <c r="Z1040" s="154"/>
      <c r="AA1040" s="154"/>
      <c r="AB1040" s="154"/>
      <c r="AC1040" s="154"/>
      <c r="AD1040" s="154"/>
      <c r="AE1040" s="154"/>
      <c r="AF1040" s="154"/>
      <c r="AG1040" s="154"/>
      <c r="AH1040" s="154"/>
      <c r="AI1040" s="154"/>
      <c r="AJ1040" s="154"/>
      <c r="AK1040" s="154"/>
      <c r="AL1040" s="154"/>
      <c r="AM1040" s="154"/>
      <c r="AN1040" s="154"/>
      <c r="AO1040" s="154"/>
      <c r="AP1040" s="154"/>
      <c r="AQ1040" s="154"/>
      <c r="AR1040" s="154"/>
      <c r="AS1040" s="154"/>
      <c r="AT1040" s="154"/>
      <c r="AU1040" s="154"/>
      <c r="AV1040" s="154"/>
      <c r="AW1040" s="154"/>
      <c r="AX1040" s="154"/>
      <c r="AY1040" s="154"/>
      <c r="AZ1040" s="154"/>
      <c r="BA1040" s="154"/>
      <c r="BB1040" s="154"/>
      <c r="BC1040" s="154"/>
      <c r="BD1040" s="154"/>
      <c r="BE1040" s="154"/>
      <c r="BF1040" s="154"/>
      <c r="BG1040" s="154"/>
      <c r="BH1040" s="154"/>
      <c r="BI1040" s="154"/>
      <c r="BJ1040" s="154"/>
      <c r="BK1040" s="154"/>
      <c r="BL1040" s="154"/>
      <c r="BM1040" s="154"/>
    </row>
    <row r="1041">
      <c r="A1041" s="154"/>
      <c r="B1041" s="154"/>
      <c r="C1041" s="305"/>
      <c r="D1041" s="305"/>
      <c r="E1041" s="305"/>
      <c r="F1041" s="154"/>
      <c r="G1041" s="154"/>
      <c r="H1041" s="154"/>
      <c r="I1041" s="154"/>
      <c r="J1041" s="154"/>
      <c r="K1041" s="154"/>
      <c r="L1041" s="154"/>
      <c r="M1041" s="154"/>
      <c r="N1041" s="154"/>
      <c r="O1041" s="154"/>
      <c r="P1041" s="154"/>
      <c r="Q1041" s="154"/>
      <c r="R1041" s="154"/>
      <c r="S1041" s="154"/>
      <c r="T1041" s="154"/>
      <c r="U1041" s="154"/>
      <c r="V1041" s="154"/>
      <c r="W1041" s="154"/>
      <c r="X1041" s="154"/>
      <c r="Y1041" s="154"/>
      <c r="Z1041" s="154"/>
      <c r="AA1041" s="154"/>
      <c r="AB1041" s="154"/>
      <c r="AC1041" s="154"/>
      <c r="AD1041" s="154"/>
      <c r="AE1041" s="154"/>
      <c r="AF1041" s="154"/>
      <c r="AG1041" s="154"/>
      <c r="AH1041" s="154"/>
      <c r="AI1041" s="154"/>
      <c r="AJ1041" s="154"/>
      <c r="AK1041" s="154"/>
      <c r="AL1041" s="154"/>
      <c r="AM1041" s="154"/>
      <c r="AN1041" s="154"/>
      <c r="AO1041" s="154"/>
      <c r="AP1041" s="154"/>
      <c r="AQ1041" s="154"/>
      <c r="AR1041" s="154"/>
      <c r="AS1041" s="154"/>
      <c r="AT1041" s="154"/>
      <c r="AU1041" s="154"/>
      <c r="AV1041" s="154"/>
      <c r="AW1041" s="154"/>
      <c r="AX1041" s="154"/>
      <c r="AY1041" s="154"/>
      <c r="AZ1041" s="154"/>
      <c r="BA1041" s="154"/>
      <c r="BB1041" s="154"/>
      <c r="BC1041" s="154"/>
      <c r="BD1041" s="154"/>
      <c r="BE1041" s="154"/>
      <c r="BF1041" s="154"/>
      <c r="BG1041" s="154"/>
      <c r="BH1041" s="154"/>
      <c r="BI1041" s="154"/>
      <c r="BJ1041" s="154"/>
      <c r="BK1041" s="154"/>
      <c r="BL1041" s="154"/>
      <c r="BM1041" s="154"/>
    </row>
    <row r="1042">
      <c r="A1042" s="154"/>
      <c r="B1042" s="154"/>
      <c r="C1042" s="305"/>
      <c r="D1042" s="305"/>
      <c r="E1042" s="305"/>
      <c r="F1042" s="154"/>
      <c r="G1042" s="154"/>
      <c r="H1042" s="154"/>
      <c r="I1042" s="154"/>
      <c r="J1042" s="154"/>
      <c r="K1042" s="154"/>
      <c r="L1042" s="154"/>
      <c r="M1042" s="154"/>
      <c r="N1042" s="154"/>
      <c r="O1042" s="154"/>
      <c r="P1042" s="154"/>
      <c r="Q1042" s="154"/>
      <c r="R1042" s="154"/>
      <c r="S1042" s="154"/>
      <c r="T1042" s="154"/>
      <c r="U1042" s="154"/>
      <c r="V1042" s="154"/>
      <c r="W1042" s="154"/>
      <c r="X1042" s="154"/>
      <c r="Y1042" s="154"/>
      <c r="Z1042" s="154"/>
      <c r="AA1042" s="154"/>
      <c r="AB1042" s="154"/>
      <c r="AC1042" s="154"/>
      <c r="AD1042" s="154"/>
      <c r="AE1042" s="154"/>
      <c r="AF1042" s="154"/>
      <c r="AG1042" s="154"/>
      <c r="AH1042" s="154"/>
      <c r="AI1042" s="154"/>
      <c r="AJ1042" s="154"/>
      <c r="AK1042" s="154"/>
      <c r="AL1042" s="154"/>
      <c r="AM1042" s="154"/>
      <c r="AN1042" s="154"/>
      <c r="AO1042" s="154"/>
      <c r="AP1042" s="154"/>
      <c r="AQ1042" s="154"/>
      <c r="AR1042" s="154"/>
      <c r="AS1042" s="154"/>
      <c r="AT1042" s="154"/>
      <c r="AU1042" s="154"/>
      <c r="AV1042" s="154"/>
      <c r="AW1042" s="154"/>
      <c r="AX1042" s="154"/>
      <c r="AY1042" s="154"/>
      <c r="AZ1042" s="154"/>
      <c r="BA1042" s="154"/>
      <c r="BB1042" s="154"/>
      <c r="BC1042" s="154"/>
      <c r="BD1042" s="154"/>
      <c r="BE1042" s="154"/>
      <c r="BF1042" s="154"/>
      <c r="BG1042" s="154"/>
      <c r="BH1042" s="154"/>
      <c r="BI1042" s="154"/>
      <c r="BJ1042" s="154"/>
      <c r="BK1042" s="154"/>
      <c r="BL1042" s="154"/>
      <c r="BM1042" s="154"/>
    </row>
    <row r="1043">
      <c r="A1043" s="154"/>
      <c r="B1043" s="154"/>
      <c r="C1043" s="305"/>
      <c r="D1043" s="305"/>
      <c r="E1043" s="305"/>
      <c r="F1043" s="154"/>
      <c r="G1043" s="154"/>
      <c r="H1043" s="154"/>
      <c r="I1043" s="154"/>
      <c r="J1043" s="154"/>
      <c r="K1043" s="154"/>
      <c r="L1043" s="154"/>
      <c r="M1043" s="154"/>
      <c r="N1043" s="154"/>
      <c r="O1043" s="154"/>
      <c r="P1043" s="154"/>
      <c r="Q1043" s="154"/>
      <c r="R1043" s="154"/>
      <c r="S1043" s="154"/>
      <c r="T1043" s="154"/>
      <c r="U1043" s="154"/>
      <c r="V1043" s="154"/>
      <c r="W1043" s="154"/>
      <c r="X1043" s="154"/>
      <c r="Y1043" s="154"/>
      <c r="Z1043" s="154"/>
      <c r="AA1043" s="154"/>
      <c r="AB1043" s="154"/>
      <c r="AC1043" s="154"/>
      <c r="AD1043" s="154"/>
      <c r="AE1043" s="154"/>
      <c r="AF1043" s="154"/>
      <c r="AG1043" s="154"/>
      <c r="AH1043" s="154"/>
      <c r="AI1043" s="154"/>
      <c r="AJ1043" s="154"/>
      <c r="AK1043" s="154"/>
      <c r="AL1043" s="154"/>
      <c r="AM1043" s="154"/>
      <c r="AN1043" s="154"/>
      <c r="AO1043" s="154"/>
      <c r="AP1043" s="154"/>
      <c r="AQ1043" s="154"/>
      <c r="AR1043" s="154"/>
      <c r="AS1043" s="154"/>
      <c r="AT1043" s="154"/>
      <c r="AU1043" s="154"/>
      <c r="AV1043" s="154"/>
      <c r="AW1043" s="154"/>
      <c r="AX1043" s="154"/>
      <c r="AY1043" s="154"/>
      <c r="AZ1043" s="154"/>
      <c r="BA1043" s="154"/>
      <c r="BB1043" s="154"/>
      <c r="BC1043" s="154"/>
      <c r="BD1043" s="154"/>
      <c r="BE1043" s="154"/>
      <c r="BF1043" s="154"/>
      <c r="BG1043" s="154"/>
      <c r="BH1043" s="154"/>
      <c r="BI1043" s="154"/>
      <c r="BJ1043" s="154"/>
      <c r="BK1043" s="154"/>
      <c r="BL1043" s="154"/>
      <c r="BM1043" s="154"/>
    </row>
    <row r="1044">
      <c r="A1044" s="154"/>
      <c r="B1044" s="154"/>
      <c r="C1044" s="305"/>
      <c r="D1044" s="305"/>
      <c r="E1044" s="305"/>
      <c r="F1044" s="154"/>
      <c r="G1044" s="154"/>
      <c r="H1044" s="154"/>
      <c r="I1044" s="154"/>
      <c r="J1044" s="154"/>
      <c r="K1044" s="154"/>
      <c r="L1044" s="154"/>
      <c r="M1044" s="154"/>
      <c r="N1044" s="154"/>
      <c r="O1044" s="154"/>
      <c r="P1044" s="154"/>
      <c r="Q1044" s="154"/>
      <c r="R1044" s="154"/>
      <c r="S1044" s="154"/>
      <c r="T1044" s="154"/>
      <c r="U1044" s="154"/>
      <c r="V1044" s="154"/>
      <c r="W1044" s="154"/>
      <c r="X1044" s="154"/>
      <c r="Y1044" s="154"/>
      <c r="Z1044" s="154"/>
      <c r="AA1044" s="154"/>
      <c r="AB1044" s="154"/>
      <c r="AC1044" s="154"/>
      <c r="AD1044" s="154"/>
      <c r="AE1044" s="154"/>
      <c r="AF1044" s="154"/>
      <c r="AG1044" s="154"/>
      <c r="AH1044" s="154"/>
      <c r="AI1044" s="154"/>
      <c r="AJ1044" s="154"/>
      <c r="AK1044" s="154"/>
      <c r="AL1044" s="154"/>
      <c r="AM1044" s="154"/>
      <c r="AN1044" s="154"/>
      <c r="AO1044" s="154"/>
      <c r="AP1044" s="154"/>
      <c r="AQ1044" s="154"/>
      <c r="AR1044" s="154"/>
      <c r="AS1044" s="154"/>
      <c r="AT1044" s="154"/>
      <c r="AU1044" s="154"/>
      <c r="AV1044" s="154"/>
      <c r="AW1044" s="154"/>
      <c r="AX1044" s="154"/>
      <c r="AY1044" s="154"/>
      <c r="AZ1044" s="154"/>
      <c r="BA1044" s="154"/>
      <c r="BB1044" s="154"/>
      <c r="BC1044" s="154"/>
      <c r="BD1044" s="154"/>
      <c r="BE1044" s="154"/>
      <c r="BF1044" s="154"/>
      <c r="BG1044" s="154"/>
      <c r="BH1044" s="154"/>
      <c r="BI1044" s="154"/>
      <c r="BJ1044" s="154"/>
      <c r="BK1044" s="154"/>
      <c r="BL1044" s="154"/>
      <c r="BM1044" s="154"/>
    </row>
    <row r="1045">
      <c r="A1045" s="154"/>
      <c r="B1045" s="154"/>
      <c r="C1045" s="305"/>
      <c r="D1045" s="305"/>
      <c r="E1045" s="305"/>
      <c r="F1045" s="154"/>
      <c r="G1045" s="154"/>
      <c r="H1045" s="154"/>
      <c r="I1045" s="154"/>
      <c r="J1045" s="154"/>
      <c r="K1045" s="154"/>
      <c r="L1045" s="154"/>
      <c r="M1045" s="154"/>
      <c r="N1045" s="154"/>
      <c r="O1045" s="154"/>
      <c r="P1045" s="154"/>
      <c r="Q1045" s="154"/>
      <c r="R1045" s="154"/>
      <c r="S1045" s="154"/>
      <c r="T1045" s="154"/>
      <c r="U1045" s="154"/>
      <c r="V1045" s="154"/>
      <c r="W1045" s="154"/>
      <c r="X1045" s="154"/>
      <c r="Y1045" s="154"/>
      <c r="Z1045" s="154"/>
      <c r="AA1045" s="154"/>
      <c r="AB1045" s="154"/>
      <c r="AC1045" s="154"/>
      <c r="AD1045" s="154"/>
      <c r="AE1045" s="154"/>
      <c r="AF1045" s="154"/>
      <c r="AG1045" s="154"/>
      <c r="AH1045" s="154"/>
      <c r="AI1045" s="154"/>
      <c r="AJ1045" s="154"/>
      <c r="AK1045" s="154"/>
      <c r="AL1045" s="154"/>
      <c r="AM1045" s="154"/>
      <c r="AN1045" s="154"/>
      <c r="AO1045" s="154"/>
      <c r="AP1045" s="154"/>
      <c r="AQ1045" s="154"/>
      <c r="AR1045" s="154"/>
      <c r="AS1045" s="154"/>
      <c r="AT1045" s="154"/>
      <c r="AU1045" s="154"/>
      <c r="AV1045" s="154"/>
      <c r="AW1045" s="154"/>
      <c r="AX1045" s="154"/>
      <c r="AY1045" s="154"/>
      <c r="AZ1045" s="154"/>
      <c r="BA1045" s="154"/>
      <c r="BB1045" s="154"/>
      <c r="BC1045" s="154"/>
      <c r="BD1045" s="154"/>
      <c r="BE1045" s="154"/>
      <c r="BF1045" s="154"/>
      <c r="BG1045" s="154"/>
      <c r="BH1045" s="154"/>
      <c r="BI1045" s="154"/>
      <c r="BJ1045" s="154"/>
      <c r="BK1045" s="154"/>
      <c r="BL1045" s="154"/>
      <c r="BM1045" s="154"/>
    </row>
    <row r="1046">
      <c r="A1046" s="154"/>
      <c r="B1046" s="154"/>
      <c r="C1046" s="305"/>
      <c r="D1046" s="305"/>
      <c r="E1046" s="305"/>
      <c r="F1046" s="154"/>
      <c r="G1046" s="154"/>
      <c r="H1046" s="154"/>
      <c r="I1046" s="154"/>
      <c r="J1046" s="154"/>
      <c r="K1046" s="154"/>
      <c r="L1046" s="154"/>
      <c r="M1046" s="154"/>
      <c r="N1046" s="154"/>
      <c r="O1046" s="154"/>
      <c r="P1046" s="154"/>
      <c r="Q1046" s="154"/>
      <c r="R1046" s="154"/>
      <c r="S1046" s="154"/>
      <c r="T1046" s="154"/>
      <c r="U1046" s="154"/>
      <c r="V1046" s="154"/>
      <c r="W1046" s="154"/>
      <c r="X1046" s="154"/>
      <c r="Y1046" s="154"/>
      <c r="Z1046" s="154"/>
      <c r="AA1046" s="154"/>
      <c r="AB1046" s="154"/>
      <c r="AC1046" s="154"/>
      <c r="AD1046" s="154"/>
      <c r="AE1046" s="154"/>
      <c r="AF1046" s="154"/>
      <c r="AG1046" s="154"/>
      <c r="AH1046" s="154"/>
      <c r="AI1046" s="154"/>
      <c r="AJ1046" s="154"/>
      <c r="AK1046" s="154"/>
      <c r="AL1046" s="154"/>
      <c r="AM1046" s="154"/>
      <c r="AN1046" s="154"/>
      <c r="AO1046" s="154"/>
      <c r="AP1046" s="154"/>
      <c r="AQ1046" s="154"/>
      <c r="AR1046" s="154"/>
      <c r="AS1046" s="154"/>
      <c r="AT1046" s="154"/>
      <c r="AU1046" s="154"/>
      <c r="AV1046" s="154"/>
      <c r="AW1046" s="154"/>
      <c r="AX1046" s="154"/>
      <c r="AY1046" s="154"/>
      <c r="AZ1046" s="154"/>
      <c r="BA1046" s="154"/>
      <c r="BB1046" s="154"/>
      <c r="BC1046" s="154"/>
      <c r="BD1046" s="154"/>
      <c r="BE1046" s="154"/>
      <c r="BF1046" s="154"/>
      <c r="BG1046" s="154"/>
      <c r="BH1046" s="154"/>
      <c r="BI1046" s="154"/>
      <c r="BJ1046" s="154"/>
      <c r="BK1046" s="154"/>
      <c r="BL1046" s="154"/>
      <c r="BM1046" s="154"/>
    </row>
    <row r="1047">
      <c r="A1047" s="154"/>
      <c r="B1047" s="154"/>
      <c r="C1047" s="305"/>
      <c r="D1047" s="305"/>
      <c r="E1047" s="305"/>
      <c r="F1047" s="154"/>
      <c r="G1047" s="154"/>
      <c r="H1047" s="154"/>
      <c r="I1047" s="154"/>
      <c r="J1047" s="154"/>
      <c r="K1047" s="154"/>
      <c r="L1047" s="154"/>
      <c r="M1047" s="154"/>
      <c r="N1047" s="154"/>
      <c r="O1047" s="154"/>
      <c r="P1047" s="154"/>
      <c r="Q1047" s="154"/>
      <c r="R1047" s="154"/>
      <c r="S1047" s="154"/>
      <c r="T1047" s="154"/>
      <c r="U1047" s="154"/>
      <c r="V1047" s="154"/>
      <c r="W1047" s="154"/>
      <c r="X1047" s="154"/>
      <c r="Y1047" s="154"/>
      <c r="Z1047" s="154"/>
      <c r="AA1047" s="154"/>
      <c r="AB1047" s="154"/>
      <c r="AC1047" s="154"/>
      <c r="AD1047" s="154"/>
      <c r="AE1047" s="154"/>
      <c r="AF1047" s="154"/>
      <c r="AG1047" s="154"/>
      <c r="AH1047" s="154"/>
      <c r="AI1047" s="154"/>
      <c r="AJ1047" s="154"/>
      <c r="AK1047" s="154"/>
      <c r="AL1047" s="154"/>
      <c r="AM1047" s="154"/>
      <c r="AN1047" s="154"/>
      <c r="AO1047" s="154"/>
      <c r="AP1047" s="154"/>
      <c r="AQ1047" s="154"/>
      <c r="AR1047" s="154"/>
      <c r="AS1047" s="154"/>
      <c r="AT1047" s="154"/>
      <c r="AU1047" s="154"/>
      <c r="AV1047" s="154"/>
      <c r="AW1047" s="154"/>
      <c r="AX1047" s="154"/>
      <c r="AY1047" s="154"/>
      <c r="AZ1047" s="154"/>
      <c r="BA1047" s="154"/>
      <c r="BB1047" s="154"/>
      <c r="BC1047" s="154"/>
      <c r="BD1047" s="154"/>
      <c r="BE1047" s="154"/>
      <c r="BF1047" s="154"/>
      <c r="BG1047" s="154"/>
      <c r="BH1047" s="154"/>
      <c r="BI1047" s="154"/>
      <c r="BJ1047" s="154"/>
      <c r="BK1047" s="154"/>
      <c r="BL1047" s="154"/>
      <c r="BM1047" s="154"/>
    </row>
    <row r="1048">
      <c r="A1048" s="154"/>
      <c r="B1048" s="154"/>
      <c r="C1048" s="305"/>
      <c r="D1048" s="305"/>
      <c r="E1048" s="305"/>
      <c r="F1048" s="154"/>
      <c r="G1048" s="154"/>
      <c r="H1048" s="154"/>
      <c r="I1048" s="154"/>
      <c r="J1048" s="154"/>
      <c r="K1048" s="154"/>
      <c r="L1048" s="154"/>
      <c r="M1048" s="154"/>
      <c r="N1048" s="154"/>
      <c r="O1048" s="154"/>
      <c r="P1048" s="154"/>
      <c r="Q1048" s="154"/>
      <c r="R1048" s="154"/>
      <c r="S1048" s="154"/>
      <c r="T1048" s="154"/>
      <c r="U1048" s="154"/>
      <c r="V1048" s="154"/>
      <c r="W1048" s="154"/>
      <c r="X1048" s="154"/>
      <c r="Y1048" s="154"/>
      <c r="Z1048" s="154"/>
      <c r="AA1048" s="154"/>
      <c r="AB1048" s="154"/>
      <c r="AC1048" s="154"/>
      <c r="AD1048" s="154"/>
      <c r="AE1048" s="154"/>
      <c r="AF1048" s="154"/>
      <c r="AG1048" s="154"/>
      <c r="AH1048" s="154"/>
      <c r="AI1048" s="154"/>
      <c r="AJ1048" s="154"/>
      <c r="AK1048" s="154"/>
      <c r="AL1048" s="154"/>
      <c r="AM1048" s="154"/>
      <c r="AN1048" s="154"/>
      <c r="AO1048" s="154"/>
      <c r="AP1048" s="154"/>
      <c r="AQ1048" s="154"/>
      <c r="AR1048" s="154"/>
      <c r="AS1048" s="154"/>
      <c r="AT1048" s="154"/>
      <c r="AU1048" s="154"/>
      <c r="AV1048" s="154"/>
      <c r="AW1048" s="154"/>
      <c r="AX1048" s="154"/>
      <c r="AY1048" s="154"/>
      <c r="AZ1048" s="154"/>
      <c r="BA1048" s="154"/>
      <c r="BB1048" s="154"/>
      <c r="BC1048" s="154"/>
      <c r="BD1048" s="154"/>
      <c r="BE1048" s="154"/>
      <c r="BF1048" s="154"/>
      <c r="BG1048" s="154"/>
      <c r="BH1048" s="154"/>
      <c r="BI1048" s="154"/>
      <c r="BJ1048" s="154"/>
      <c r="BK1048" s="154"/>
      <c r="BL1048" s="154"/>
      <c r="BM1048" s="154"/>
    </row>
    <row r="1049">
      <c r="A1049" s="154"/>
      <c r="B1049" s="154"/>
      <c r="C1049" s="305"/>
      <c r="D1049" s="305"/>
      <c r="E1049" s="305"/>
      <c r="F1049" s="154"/>
      <c r="G1049" s="154"/>
      <c r="H1049" s="154"/>
      <c r="I1049" s="154"/>
      <c r="J1049" s="154"/>
      <c r="K1049" s="154"/>
      <c r="L1049" s="154"/>
      <c r="M1049" s="154"/>
      <c r="N1049" s="154"/>
      <c r="O1049" s="154"/>
      <c r="P1049" s="154"/>
      <c r="Q1049" s="154"/>
      <c r="R1049" s="154"/>
      <c r="S1049" s="154"/>
      <c r="T1049" s="154"/>
      <c r="U1049" s="154"/>
      <c r="V1049" s="154"/>
      <c r="W1049" s="154"/>
      <c r="X1049" s="154"/>
      <c r="Y1049" s="154"/>
      <c r="Z1049" s="154"/>
      <c r="AA1049" s="154"/>
      <c r="AB1049" s="154"/>
      <c r="AC1049" s="154"/>
      <c r="AD1049" s="154"/>
      <c r="AE1049" s="154"/>
      <c r="AF1049" s="154"/>
      <c r="AG1049" s="154"/>
      <c r="AH1049" s="154"/>
      <c r="AI1049" s="154"/>
      <c r="AJ1049" s="154"/>
      <c r="AK1049" s="154"/>
      <c r="AL1049" s="154"/>
      <c r="AM1049" s="154"/>
      <c r="AN1049" s="154"/>
      <c r="AO1049" s="154"/>
      <c r="AP1049" s="154"/>
      <c r="AQ1049" s="154"/>
      <c r="AR1049" s="154"/>
      <c r="AS1049" s="154"/>
      <c r="AT1049" s="154"/>
      <c r="AU1049" s="154"/>
      <c r="AV1049" s="154"/>
      <c r="AW1049" s="154"/>
      <c r="AX1049" s="154"/>
      <c r="AY1049" s="154"/>
      <c r="AZ1049" s="154"/>
      <c r="BA1049" s="154"/>
      <c r="BB1049" s="154"/>
      <c r="BC1049" s="154"/>
      <c r="BD1049" s="154"/>
      <c r="BE1049" s="154"/>
      <c r="BF1049" s="154"/>
      <c r="BG1049" s="154"/>
      <c r="BH1049" s="154"/>
      <c r="BI1049" s="154"/>
      <c r="BJ1049" s="154"/>
      <c r="BK1049" s="154"/>
      <c r="BL1049" s="154"/>
      <c r="BM1049" s="154"/>
    </row>
    <row r="1050">
      <c r="A1050" s="154"/>
      <c r="B1050" s="154"/>
      <c r="C1050" s="305"/>
      <c r="D1050" s="305"/>
      <c r="E1050" s="305"/>
      <c r="F1050" s="154"/>
      <c r="G1050" s="154"/>
      <c r="H1050" s="154"/>
      <c r="I1050" s="154"/>
      <c r="J1050" s="154"/>
      <c r="K1050" s="154"/>
      <c r="L1050" s="154"/>
      <c r="M1050" s="154"/>
      <c r="N1050" s="154"/>
      <c r="O1050" s="154"/>
      <c r="P1050" s="154"/>
      <c r="Q1050" s="154"/>
      <c r="R1050" s="154"/>
      <c r="S1050" s="154"/>
      <c r="T1050" s="154"/>
      <c r="U1050" s="154"/>
      <c r="V1050" s="154"/>
      <c r="W1050" s="154"/>
      <c r="X1050" s="154"/>
      <c r="Y1050" s="154"/>
      <c r="Z1050" s="154"/>
      <c r="AA1050" s="154"/>
      <c r="AB1050" s="154"/>
      <c r="AC1050" s="154"/>
      <c r="AD1050" s="154"/>
      <c r="AE1050" s="154"/>
      <c r="AF1050" s="154"/>
      <c r="AG1050" s="154"/>
      <c r="AH1050" s="154"/>
      <c r="AI1050" s="154"/>
      <c r="AJ1050" s="154"/>
      <c r="AK1050" s="154"/>
      <c r="AL1050" s="154"/>
      <c r="AM1050" s="154"/>
      <c r="AN1050" s="154"/>
      <c r="AO1050" s="154"/>
      <c r="AP1050" s="154"/>
      <c r="AQ1050" s="154"/>
      <c r="AR1050" s="154"/>
      <c r="AS1050" s="154"/>
      <c r="AT1050" s="154"/>
      <c r="AU1050" s="154"/>
      <c r="AV1050" s="154"/>
      <c r="AW1050" s="154"/>
      <c r="AX1050" s="154"/>
      <c r="AY1050" s="154"/>
      <c r="AZ1050" s="154"/>
      <c r="BA1050" s="154"/>
      <c r="BB1050" s="154"/>
      <c r="BC1050" s="154"/>
      <c r="BD1050" s="154"/>
      <c r="BE1050" s="154"/>
      <c r="BF1050" s="154"/>
      <c r="BG1050" s="154"/>
      <c r="BH1050" s="154"/>
      <c r="BI1050" s="154"/>
      <c r="BJ1050" s="154"/>
      <c r="BK1050" s="154"/>
      <c r="BL1050" s="154"/>
      <c r="BM1050" s="154"/>
    </row>
    <row r="1051">
      <c r="A1051" s="154"/>
      <c r="B1051" s="154"/>
      <c r="C1051" s="305"/>
      <c r="D1051" s="305"/>
      <c r="E1051" s="305"/>
      <c r="F1051" s="154"/>
      <c r="G1051" s="154"/>
      <c r="H1051" s="154"/>
      <c r="I1051" s="154"/>
      <c r="J1051" s="154"/>
      <c r="K1051" s="154"/>
      <c r="L1051" s="154"/>
      <c r="M1051" s="154"/>
      <c r="N1051" s="154"/>
      <c r="O1051" s="154"/>
      <c r="P1051" s="154"/>
      <c r="Q1051" s="154"/>
      <c r="R1051" s="154"/>
      <c r="S1051" s="154"/>
      <c r="T1051" s="154"/>
      <c r="U1051" s="154"/>
      <c r="V1051" s="154"/>
      <c r="W1051" s="154"/>
      <c r="X1051" s="154"/>
      <c r="Y1051" s="154"/>
      <c r="Z1051" s="154"/>
      <c r="AA1051" s="154"/>
      <c r="AB1051" s="154"/>
      <c r="AC1051" s="154"/>
      <c r="AD1051" s="154"/>
      <c r="AE1051" s="154"/>
      <c r="AF1051" s="154"/>
      <c r="AG1051" s="154"/>
      <c r="AH1051" s="154"/>
      <c r="AI1051" s="154"/>
      <c r="AJ1051" s="154"/>
      <c r="AK1051" s="154"/>
      <c r="AL1051" s="154"/>
      <c r="AM1051" s="154"/>
      <c r="AN1051" s="154"/>
      <c r="AO1051" s="154"/>
      <c r="AP1051" s="154"/>
      <c r="AQ1051" s="154"/>
      <c r="AR1051" s="154"/>
      <c r="AS1051" s="154"/>
      <c r="AT1051" s="154"/>
      <c r="AU1051" s="154"/>
      <c r="AV1051" s="154"/>
      <c r="AW1051" s="154"/>
      <c r="AX1051" s="154"/>
      <c r="AY1051" s="154"/>
      <c r="AZ1051" s="154"/>
      <c r="BA1051" s="154"/>
      <c r="BB1051" s="154"/>
      <c r="BC1051" s="154"/>
      <c r="BD1051" s="154"/>
      <c r="BE1051" s="154"/>
      <c r="BF1051" s="154"/>
      <c r="BG1051" s="154"/>
      <c r="BH1051" s="154"/>
      <c r="BI1051" s="154"/>
      <c r="BJ1051" s="154"/>
      <c r="BK1051" s="154"/>
      <c r="BL1051" s="154"/>
      <c r="BM1051" s="154"/>
    </row>
    <row r="1052">
      <c r="A1052" s="154"/>
      <c r="B1052" s="154"/>
      <c r="C1052" s="305"/>
      <c r="D1052" s="305"/>
      <c r="E1052" s="305"/>
      <c r="F1052" s="154"/>
      <c r="G1052" s="154"/>
      <c r="H1052" s="154"/>
      <c r="I1052" s="154"/>
      <c r="J1052" s="154"/>
      <c r="K1052" s="154"/>
      <c r="L1052" s="154"/>
      <c r="M1052" s="154"/>
      <c r="N1052" s="154"/>
      <c r="O1052" s="154"/>
      <c r="P1052" s="154"/>
      <c r="Q1052" s="154"/>
      <c r="R1052" s="154"/>
      <c r="S1052" s="154"/>
      <c r="T1052" s="154"/>
      <c r="U1052" s="154"/>
      <c r="V1052" s="154"/>
      <c r="W1052" s="154"/>
      <c r="X1052" s="154"/>
      <c r="Y1052" s="154"/>
      <c r="Z1052" s="154"/>
      <c r="AA1052" s="154"/>
      <c r="AB1052" s="154"/>
      <c r="AC1052" s="154"/>
      <c r="AD1052" s="154"/>
      <c r="AE1052" s="154"/>
      <c r="AF1052" s="154"/>
      <c r="AG1052" s="154"/>
      <c r="AH1052" s="154"/>
      <c r="AI1052" s="154"/>
      <c r="AJ1052" s="154"/>
      <c r="AK1052" s="154"/>
      <c r="AL1052" s="154"/>
      <c r="AM1052" s="154"/>
      <c r="AN1052" s="154"/>
      <c r="AO1052" s="154"/>
      <c r="AP1052" s="154"/>
      <c r="AQ1052" s="154"/>
      <c r="AR1052" s="154"/>
      <c r="AS1052" s="154"/>
      <c r="AT1052" s="154"/>
      <c r="AU1052" s="154"/>
      <c r="AV1052" s="154"/>
      <c r="AW1052" s="154"/>
      <c r="AX1052" s="154"/>
      <c r="AY1052" s="154"/>
      <c r="AZ1052" s="154"/>
      <c r="BA1052" s="154"/>
      <c r="BB1052" s="154"/>
      <c r="BC1052" s="154"/>
      <c r="BD1052" s="154"/>
      <c r="BE1052" s="154"/>
      <c r="BF1052" s="154"/>
      <c r="BG1052" s="154"/>
      <c r="BH1052" s="154"/>
      <c r="BI1052" s="154"/>
      <c r="BJ1052" s="154"/>
      <c r="BK1052" s="154"/>
      <c r="BL1052" s="154"/>
      <c r="BM1052" s="154"/>
    </row>
    <row r="1053">
      <c r="A1053" s="154"/>
      <c r="B1053" s="154"/>
      <c r="C1053" s="305"/>
      <c r="D1053" s="305"/>
      <c r="E1053" s="305"/>
      <c r="F1053" s="154"/>
      <c r="G1053" s="154"/>
      <c r="H1053" s="154"/>
      <c r="I1053" s="154"/>
      <c r="J1053" s="154"/>
      <c r="K1053" s="154"/>
      <c r="L1053" s="154"/>
      <c r="M1053" s="154"/>
      <c r="N1053" s="154"/>
      <c r="O1053" s="154"/>
      <c r="P1053" s="154"/>
      <c r="Q1053" s="154"/>
      <c r="R1053" s="154"/>
      <c r="S1053" s="154"/>
      <c r="T1053" s="154"/>
      <c r="U1053" s="154"/>
      <c r="V1053" s="154"/>
      <c r="W1053" s="154"/>
      <c r="X1053" s="154"/>
      <c r="Y1053" s="154"/>
      <c r="Z1053" s="154"/>
      <c r="AA1053" s="154"/>
      <c r="AB1053" s="154"/>
      <c r="AC1053" s="154"/>
      <c r="AD1053" s="154"/>
      <c r="AE1053" s="154"/>
      <c r="AF1053" s="154"/>
      <c r="AG1053" s="154"/>
      <c r="AH1053" s="154"/>
      <c r="AI1053" s="154"/>
      <c r="AJ1053" s="154"/>
      <c r="AK1053" s="154"/>
      <c r="AL1053" s="154"/>
      <c r="AM1053" s="154"/>
      <c r="AN1053" s="154"/>
      <c r="AO1053" s="154"/>
      <c r="AP1053" s="154"/>
      <c r="AQ1053" s="154"/>
      <c r="AR1053" s="154"/>
      <c r="AS1053" s="154"/>
      <c r="AT1053" s="154"/>
      <c r="AU1053" s="154"/>
      <c r="AV1053" s="154"/>
      <c r="AW1053" s="154"/>
      <c r="AX1053" s="154"/>
      <c r="AY1053" s="154"/>
      <c r="AZ1053" s="154"/>
      <c r="BA1053" s="154"/>
      <c r="BB1053" s="154"/>
      <c r="BC1053" s="154"/>
      <c r="BD1053" s="154"/>
      <c r="BE1053" s="154"/>
      <c r="BF1053" s="154"/>
      <c r="BG1053" s="154"/>
      <c r="BH1053" s="154"/>
      <c r="BI1053" s="154"/>
      <c r="BJ1053" s="154"/>
      <c r="BK1053" s="154"/>
      <c r="BL1053" s="154"/>
      <c r="BM1053" s="154"/>
    </row>
    <row r="1054">
      <c r="A1054" s="154"/>
      <c r="B1054" s="154"/>
      <c r="C1054" s="305"/>
      <c r="D1054" s="305"/>
      <c r="E1054" s="305"/>
      <c r="F1054" s="154"/>
      <c r="G1054" s="154"/>
      <c r="H1054" s="154"/>
      <c r="I1054" s="154"/>
      <c r="J1054" s="154"/>
      <c r="K1054" s="154"/>
      <c r="L1054" s="154"/>
      <c r="M1054" s="154"/>
      <c r="N1054" s="154"/>
      <c r="O1054" s="154"/>
      <c r="P1054" s="154"/>
      <c r="Q1054" s="154"/>
      <c r="R1054" s="154"/>
      <c r="S1054" s="154"/>
      <c r="T1054" s="154"/>
      <c r="U1054" s="154"/>
      <c r="V1054" s="154"/>
      <c r="W1054" s="154"/>
      <c r="X1054" s="154"/>
      <c r="Y1054" s="154"/>
      <c r="Z1054" s="154"/>
      <c r="AA1054" s="154"/>
      <c r="AB1054" s="154"/>
      <c r="AC1054" s="154"/>
      <c r="AD1054" s="154"/>
      <c r="AE1054" s="154"/>
      <c r="AF1054" s="154"/>
      <c r="AG1054" s="154"/>
      <c r="AH1054" s="154"/>
      <c r="AI1054" s="154"/>
      <c r="AJ1054" s="154"/>
      <c r="AK1054" s="154"/>
      <c r="AL1054" s="154"/>
      <c r="AM1054" s="154"/>
      <c r="AN1054" s="154"/>
      <c r="AO1054" s="154"/>
      <c r="AP1054" s="154"/>
      <c r="AQ1054" s="154"/>
      <c r="AR1054" s="154"/>
      <c r="AS1054" s="154"/>
      <c r="AT1054" s="154"/>
      <c r="AU1054" s="154"/>
      <c r="AV1054" s="154"/>
      <c r="AW1054" s="154"/>
      <c r="AX1054" s="154"/>
      <c r="AY1054" s="154"/>
      <c r="AZ1054" s="154"/>
      <c r="BA1054" s="154"/>
      <c r="BB1054" s="154"/>
      <c r="BC1054" s="154"/>
      <c r="BD1054" s="154"/>
      <c r="BE1054" s="154"/>
      <c r="BF1054" s="154"/>
      <c r="BG1054" s="154"/>
      <c r="BH1054" s="154"/>
      <c r="BI1054" s="154"/>
      <c r="BJ1054" s="154"/>
      <c r="BK1054" s="154"/>
      <c r="BL1054" s="154"/>
      <c r="BM1054" s="154"/>
    </row>
    <row r="1055">
      <c r="A1055" s="154"/>
      <c r="B1055" s="154"/>
      <c r="C1055" s="305"/>
      <c r="D1055" s="305"/>
      <c r="E1055" s="305"/>
      <c r="F1055" s="154"/>
      <c r="G1055" s="154"/>
      <c r="H1055" s="154"/>
      <c r="I1055" s="154"/>
      <c r="J1055" s="154"/>
      <c r="K1055" s="154"/>
      <c r="L1055" s="154"/>
      <c r="M1055" s="154"/>
      <c r="N1055" s="154"/>
      <c r="O1055" s="154"/>
      <c r="P1055" s="154"/>
      <c r="Q1055" s="154"/>
      <c r="R1055" s="154"/>
      <c r="S1055" s="154"/>
      <c r="T1055" s="154"/>
      <c r="U1055" s="154"/>
      <c r="V1055" s="154"/>
      <c r="W1055" s="154"/>
      <c r="X1055" s="154"/>
      <c r="Y1055" s="154"/>
      <c r="Z1055" s="154"/>
      <c r="AA1055" s="154"/>
      <c r="AB1055" s="154"/>
      <c r="AC1055" s="154"/>
      <c r="AD1055" s="154"/>
      <c r="AE1055" s="154"/>
      <c r="AF1055" s="154"/>
      <c r="AG1055" s="154"/>
      <c r="AH1055" s="154"/>
      <c r="AI1055" s="154"/>
      <c r="AJ1055" s="154"/>
      <c r="AK1055" s="154"/>
      <c r="AL1055" s="154"/>
      <c r="AM1055" s="154"/>
      <c r="AN1055" s="154"/>
      <c r="AO1055" s="154"/>
      <c r="AP1055" s="154"/>
      <c r="AQ1055" s="154"/>
      <c r="AR1055" s="154"/>
      <c r="AS1055" s="154"/>
      <c r="AT1055" s="154"/>
      <c r="AU1055" s="154"/>
      <c r="AV1055" s="154"/>
      <c r="AW1055" s="154"/>
      <c r="AX1055" s="154"/>
      <c r="AY1055" s="154"/>
      <c r="AZ1055" s="154"/>
      <c r="BA1055" s="154"/>
      <c r="BB1055" s="154"/>
      <c r="BC1055" s="154"/>
      <c r="BD1055" s="154"/>
      <c r="BE1055" s="154"/>
      <c r="BF1055" s="154"/>
      <c r="BG1055" s="154"/>
      <c r="BH1055" s="154"/>
      <c r="BI1055" s="154"/>
      <c r="BJ1055" s="154"/>
      <c r="BK1055" s="154"/>
      <c r="BL1055" s="154"/>
      <c r="BM1055" s="154"/>
    </row>
    <row r="1056">
      <c r="A1056" s="154"/>
      <c r="B1056" s="154"/>
      <c r="C1056" s="305"/>
      <c r="D1056" s="305"/>
      <c r="E1056" s="305"/>
      <c r="F1056" s="154"/>
      <c r="G1056" s="154"/>
      <c r="H1056" s="154"/>
      <c r="I1056" s="154"/>
      <c r="J1056" s="154"/>
      <c r="K1056" s="154"/>
      <c r="L1056" s="154"/>
      <c r="M1056" s="154"/>
      <c r="N1056" s="154"/>
      <c r="O1056" s="154"/>
      <c r="P1056" s="154"/>
      <c r="Q1056" s="154"/>
      <c r="R1056" s="154"/>
      <c r="S1056" s="154"/>
      <c r="T1056" s="154"/>
      <c r="U1056" s="154"/>
      <c r="V1056" s="154"/>
      <c r="W1056" s="154"/>
      <c r="X1056" s="154"/>
      <c r="Y1056" s="154"/>
      <c r="Z1056" s="154"/>
      <c r="AA1056" s="154"/>
      <c r="AB1056" s="154"/>
      <c r="AC1056" s="154"/>
      <c r="AD1056" s="154"/>
      <c r="AE1056" s="154"/>
      <c r="AF1056" s="154"/>
      <c r="AG1056" s="154"/>
      <c r="AH1056" s="154"/>
      <c r="AI1056" s="154"/>
      <c r="AJ1056" s="154"/>
      <c r="AK1056" s="154"/>
      <c r="AL1056" s="154"/>
      <c r="AM1056" s="154"/>
      <c r="AN1056" s="154"/>
      <c r="AO1056" s="154"/>
      <c r="AP1056" s="154"/>
      <c r="AQ1056" s="154"/>
      <c r="AR1056" s="154"/>
      <c r="AS1056" s="154"/>
      <c r="AT1056" s="154"/>
      <c r="AU1056" s="154"/>
      <c r="AV1056" s="154"/>
      <c r="AW1056" s="154"/>
      <c r="AX1056" s="154"/>
      <c r="AY1056" s="154"/>
      <c r="AZ1056" s="154"/>
      <c r="BA1056" s="154"/>
      <c r="BB1056" s="154"/>
      <c r="BC1056" s="154"/>
      <c r="BD1056" s="154"/>
      <c r="BE1056" s="154"/>
      <c r="BF1056" s="154"/>
      <c r="BG1056" s="154"/>
      <c r="BH1056" s="154"/>
      <c r="BI1056" s="154"/>
      <c r="BJ1056" s="154"/>
      <c r="BK1056" s="154"/>
      <c r="BL1056" s="154"/>
      <c r="BM1056" s="154"/>
    </row>
    <row r="1057">
      <c r="A1057" s="154"/>
      <c r="B1057" s="154"/>
      <c r="C1057" s="305"/>
      <c r="D1057" s="305"/>
      <c r="E1057" s="305"/>
      <c r="F1057" s="154"/>
      <c r="G1057" s="154"/>
      <c r="H1057" s="154"/>
      <c r="I1057" s="154"/>
      <c r="J1057" s="154"/>
      <c r="K1057" s="154"/>
      <c r="L1057" s="154"/>
      <c r="M1057" s="154"/>
      <c r="N1057" s="154"/>
      <c r="O1057" s="154"/>
      <c r="P1057" s="154"/>
      <c r="Q1057" s="154"/>
      <c r="R1057" s="154"/>
      <c r="S1057" s="154"/>
      <c r="T1057" s="154"/>
      <c r="U1057" s="154"/>
      <c r="V1057" s="154"/>
      <c r="W1057" s="154"/>
      <c r="X1057" s="154"/>
      <c r="Y1057" s="154"/>
      <c r="Z1057" s="154"/>
      <c r="AA1057" s="154"/>
      <c r="AB1057" s="154"/>
      <c r="AC1057" s="154"/>
      <c r="AD1057" s="154"/>
      <c r="AE1057" s="154"/>
      <c r="AF1057" s="154"/>
      <c r="AG1057" s="154"/>
      <c r="AH1057" s="154"/>
      <c r="AI1057" s="154"/>
      <c r="AJ1057" s="154"/>
      <c r="AK1057" s="154"/>
      <c r="AL1057" s="154"/>
      <c r="AM1057" s="154"/>
      <c r="AN1057" s="154"/>
      <c r="AO1057" s="154"/>
      <c r="AP1057" s="154"/>
      <c r="AQ1057" s="154"/>
      <c r="AR1057" s="154"/>
      <c r="AS1057" s="154"/>
      <c r="AT1057" s="154"/>
      <c r="AU1057" s="154"/>
      <c r="AV1057" s="154"/>
      <c r="AW1057" s="154"/>
      <c r="AX1057" s="154"/>
      <c r="AY1057" s="154"/>
      <c r="AZ1057" s="154"/>
      <c r="BA1057" s="154"/>
      <c r="BB1057" s="154"/>
      <c r="BC1057" s="154"/>
      <c r="BD1057" s="154"/>
      <c r="BE1057" s="154"/>
      <c r="BF1057" s="154"/>
      <c r="BG1057" s="154"/>
      <c r="BH1057" s="154"/>
      <c r="BI1057" s="154"/>
      <c r="BJ1057" s="154"/>
      <c r="BK1057" s="154"/>
      <c r="BL1057" s="154"/>
      <c r="BM1057" s="154"/>
    </row>
    <row r="1058">
      <c r="A1058" s="154"/>
      <c r="B1058" s="154"/>
      <c r="C1058" s="305"/>
      <c r="D1058" s="305"/>
      <c r="E1058" s="305"/>
      <c r="F1058" s="154"/>
      <c r="G1058" s="154"/>
      <c r="H1058" s="154"/>
      <c r="I1058" s="154"/>
      <c r="J1058" s="154"/>
      <c r="K1058" s="154"/>
      <c r="L1058" s="154"/>
      <c r="M1058" s="154"/>
      <c r="N1058" s="154"/>
      <c r="O1058" s="154"/>
      <c r="P1058" s="154"/>
      <c r="Q1058" s="154"/>
      <c r="R1058" s="154"/>
      <c r="S1058" s="154"/>
      <c r="T1058" s="154"/>
      <c r="U1058" s="154"/>
      <c r="V1058" s="154"/>
      <c r="W1058" s="154"/>
      <c r="X1058" s="154"/>
      <c r="Y1058" s="154"/>
      <c r="Z1058" s="154"/>
      <c r="AA1058" s="154"/>
      <c r="AB1058" s="154"/>
      <c r="AC1058" s="154"/>
      <c r="AD1058" s="154"/>
      <c r="AE1058" s="154"/>
      <c r="AF1058" s="154"/>
      <c r="AG1058" s="154"/>
      <c r="AH1058" s="154"/>
      <c r="AI1058" s="154"/>
      <c r="AJ1058" s="154"/>
      <c r="AK1058" s="154"/>
      <c r="AL1058" s="154"/>
      <c r="AM1058" s="154"/>
      <c r="AN1058" s="154"/>
      <c r="AO1058" s="154"/>
      <c r="AP1058" s="154"/>
      <c r="AQ1058" s="154"/>
      <c r="AR1058" s="154"/>
      <c r="AS1058" s="154"/>
      <c r="AT1058" s="154"/>
      <c r="AU1058" s="154"/>
      <c r="AV1058" s="154"/>
      <c r="AW1058" s="154"/>
      <c r="AX1058" s="154"/>
      <c r="AY1058" s="154"/>
      <c r="AZ1058" s="154"/>
      <c r="BA1058" s="154"/>
      <c r="BB1058" s="154"/>
      <c r="BC1058" s="154"/>
      <c r="BD1058" s="154"/>
      <c r="BE1058" s="154"/>
      <c r="BF1058" s="154"/>
      <c r="BG1058" s="154"/>
      <c r="BH1058" s="154"/>
      <c r="BI1058" s="154"/>
      <c r="BJ1058" s="154"/>
      <c r="BK1058" s="154"/>
      <c r="BL1058" s="154"/>
      <c r="BM1058" s="154"/>
    </row>
    <row r="1059">
      <c r="A1059" s="154"/>
      <c r="B1059" s="154"/>
      <c r="C1059" s="305"/>
      <c r="D1059" s="305"/>
      <c r="E1059" s="305"/>
      <c r="F1059" s="154"/>
      <c r="G1059" s="154"/>
      <c r="H1059" s="154"/>
      <c r="I1059" s="154"/>
      <c r="J1059" s="154"/>
      <c r="K1059" s="154"/>
      <c r="L1059" s="154"/>
      <c r="M1059" s="154"/>
      <c r="N1059" s="154"/>
      <c r="O1059" s="154"/>
      <c r="P1059" s="154"/>
      <c r="Q1059" s="154"/>
      <c r="R1059" s="154"/>
      <c r="S1059" s="154"/>
      <c r="T1059" s="154"/>
      <c r="U1059" s="154"/>
      <c r="V1059" s="154"/>
      <c r="W1059" s="154"/>
      <c r="X1059" s="154"/>
      <c r="Y1059" s="154"/>
      <c r="Z1059" s="154"/>
      <c r="AA1059" s="154"/>
      <c r="AB1059" s="154"/>
      <c r="AC1059" s="154"/>
      <c r="AD1059" s="154"/>
      <c r="AE1059" s="154"/>
      <c r="AF1059" s="154"/>
      <c r="AG1059" s="154"/>
      <c r="AH1059" s="154"/>
      <c r="AI1059" s="154"/>
      <c r="AJ1059" s="154"/>
      <c r="AK1059" s="154"/>
      <c r="AL1059" s="154"/>
      <c r="AM1059" s="154"/>
      <c r="AN1059" s="154"/>
      <c r="AO1059" s="154"/>
      <c r="AP1059" s="154"/>
      <c r="AQ1059" s="154"/>
      <c r="AR1059" s="154"/>
      <c r="AS1059" s="154"/>
      <c r="AT1059" s="154"/>
      <c r="AU1059" s="154"/>
      <c r="AV1059" s="154"/>
      <c r="AW1059" s="154"/>
      <c r="AX1059" s="154"/>
      <c r="AY1059" s="154"/>
      <c r="AZ1059" s="154"/>
      <c r="BA1059" s="154"/>
      <c r="BB1059" s="154"/>
      <c r="BC1059" s="154"/>
      <c r="BD1059" s="154"/>
      <c r="BE1059" s="154"/>
      <c r="BF1059" s="154"/>
      <c r="BG1059" s="154"/>
      <c r="BH1059" s="154"/>
      <c r="BI1059" s="154"/>
      <c r="BJ1059" s="154"/>
      <c r="BK1059" s="154"/>
      <c r="BL1059" s="154"/>
      <c r="BM1059" s="154"/>
    </row>
    <row r="1060">
      <c r="A1060" s="154"/>
      <c r="B1060" s="154"/>
      <c r="C1060" s="305"/>
      <c r="D1060" s="305"/>
      <c r="E1060" s="305"/>
      <c r="F1060" s="154"/>
      <c r="G1060" s="154"/>
      <c r="H1060" s="154"/>
      <c r="I1060" s="154"/>
      <c r="J1060" s="154"/>
      <c r="K1060" s="154"/>
      <c r="L1060" s="154"/>
      <c r="M1060" s="154"/>
      <c r="N1060" s="154"/>
      <c r="O1060" s="154"/>
      <c r="P1060" s="154"/>
      <c r="Q1060" s="154"/>
      <c r="R1060" s="154"/>
      <c r="S1060" s="154"/>
      <c r="T1060" s="154"/>
      <c r="U1060" s="154"/>
      <c r="V1060" s="154"/>
      <c r="W1060" s="154"/>
      <c r="X1060" s="154"/>
      <c r="Y1060" s="154"/>
      <c r="Z1060" s="154"/>
      <c r="AA1060" s="154"/>
      <c r="AB1060" s="154"/>
      <c r="AC1060" s="154"/>
      <c r="AD1060" s="154"/>
      <c r="AE1060" s="154"/>
      <c r="AF1060" s="154"/>
      <c r="AG1060" s="154"/>
      <c r="AH1060" s="154"/>
      <c r="AI1060" s="154"/>
      <c r="AJ1060" s="154"/>
      <c r="AK1060" s="154"/>
      <c r="AL1060" s="154"/>
      <c r="AM1060" s="154"/>
      <c r="AN1060" s="154"/>
      <c r="AO1060" s="154"/>
      <c r="AP1060" s="154"/>
      <c r="AQ1060" s="154"/>
      <c r="AR1060" s="154"/>
      <c r="AS1060" s="154"/>
      <c r="AT1060" s="154"/>
      <c r="AU1060" s="154"/>
      <c r="AV1060" s="154"/>
      <c r="AW1060" s="154"/>
      <c r="AX1060" s="154"/>
      <c r="AY1060" s="154"/>
      <c r="AZ1060" s="154"/>
      <c r="BA1060" s="154"/>
      <c r="BB1060" s="154"/>
      <c r="BC1060" s="154"/>
      <c r="BD1060" s="154"/>
      <c r="BE1060" s="154"/>
      <c r="BF1060" s="154"/>
      <c r="BG1060" s="154"/>
      <c r="BH1060" s="154"/>
      <c r="BI1060" s="154"/>
      <c r="BJ1060" s="154"/>
      <c r="BK1060" s="154"/>
      <c r="BL1060" s="154"/>
      <c r="BM1060" s="154"/>
    </row>
    <row r="1061">
      <c r="A1061" s="154"/>
      <c r="B1061" s="154"/>
      <c r="C1061" s="305"/>
      <c r="D1061" s="305"/>
      <c r="E1061" s="305"/>
      <c r="F1061" s="154"/>
      <c r="G1061" s="154"/>
      <c r="H1061" s="154"/>
      <c r="I1061" s="154"/>
      <c r="J1061" s="154"/>
      <c r="K1061" s="154"/>
      <c r="L1061" s="154"/>
      <c r="M1061" s="154"/>
      <c r="N1061" s="154"/>
      <c r="O1061" s="154"/>
      <c r="P1061" s="154"/>
      <c r="Q1061" s="154"/>
      <c r="R1061" s="154"/>
      <c r="S1061" s="154"/>
      <c r="T1061" s="154"/>
      <c r="U1061" s="154"/>
      <c r="V1061" s="154"/>
      <c r="W1061" s="154"/>
      <c r="X1061" s="154"/>
      <c r="Y1061" s="154"/>
      <c r="Z1061" s="154"/>
      <c r="AA1061" s="154"/>
      <c r="AB1061" s="154"/>
      <c r="AC1061" s="154"/>
      <c r="AD1061" s="154"/>
      <c r="AE1061" s="154"/>
      <c r="AF1061" s="154"/>
      <c r="AG1061" s="154"/>
      <c r="AH1061" s="154"/>
      <c r="AI1061" s="154"/>
      <c r="AJ1061" s="154"/>
      <c r="AK1061" s="154"/>
      <c r="AL1061" s="154"/>
      <c r="AM1061" s="154"/>
      <c r="AN1061" s="154"/>
      <c r="AO1061" s="154"/>
      <c r="AP1061" s="154"/>
      <c r="AQ1061" s="154"/>
      <c r="AR1061" s="154"/>
      <c r="AS1061" s="154"/>
      <c r="AT1061" s="154"/>
      <c r="AU1061" s="154"/>
      <c r="AV1061" s="154"/>
      <c r="AW1061" s="154"/>
      <c r="AX1061" s="154"/>
      <c r="AY1061" s="154"/>
      <c r="AZ1061" s="154"/>
      <c r="BA1061" s="154"/>
      <c r="BB1061" s="154"/>
      <c r="BC1061" s="154"/>
      <c r="BD1061" s="154"/>
      <c r="BE1061" s="154"/>
      <c r="BF1061" s="154"/>
      <c r="BG1061" s="154"/>
      <c r="BH1061" s="154"/>
      <c r="BI1061" s="154"/>
      <c r="BJ1061" s="154"/>
      <c r="BK1061" s="154"/>
      <c r="BL1061" s="154"/>
      <c r="BM1061" s="154"/>
    </row>
    <row r="1062">
      <c r="A1062" s="154"/>
      <c r="B1062" s="154"/>
      <c r="C1062" s="305"/>
      <c r="D1062" s="305"/>
      <c r="E1062" s="305"/>
      <c r="F1062" s="154"/>
      <c r="G1062" s="154"/>
      <c r="H1062" s="154"/>
      <c r="I1062" s="154"/>
      <c r="J1062" s="154"/>
      <c r="K1062" s="154"/>
      <c r="L1062" s="154"/>
      <c r="M1062" s="154"/>
      <c r="N1062" s="154"/>
      <c r="O1062" s="154"/>
      <c r="P1062" s="154"/>
      <c r="Q1062" s="154"/>
      <c r="R1062" s="154"/>
      <c r="S1062" s="154"/>
      <c r="T1062" s="154"/>
      <c r="U1062" s="154"/>
      <c r="V1062" s="154"/>
      <c r="W1062" s="154"/>
      <c r="X1062" s="154"/>
      <c r="Y1062" s="154"/>
      <c r="Z1062" s="154"/>
      <c r="AA1062" s="154"/>
      <c r="AB1062" s="154"/>
      <c r="AC1062" s="154"/>
      <c r="AD1062" s="154"/>
      <c r="AE1062" s="154"/>
      <c r="AF1062" s="154"/>
      <c r="AG1062" s="154"/>
      <c r="AH1062" s="154"/>
      <c r="AI1062" s="154"/>
      <c r="AJ1062" s="154"/>
      <c r="AK1062" s="154"/>
      <c r="AL1062" s="154"/>
      <c r="AM1062" s="154"/>
      <c r="AN1062" s="154"/>
      <c r="AO1062" s="154"/>
      <c r="AP1062" s="154"/>
      <c r="AQ1062" s="154"/>
      <c r="AR1062" s="154"/>
      <c r="AS1062" s="154"/>
      <c r="AT1062" s="154"/>
      <c r="AU1062" s="154"/>
      <c r="AV1062" s="154"/>
      <c r="AW1062" s="154"/>
      <c r="AX1062" s="154"/>
      <c r="AY1062" s="154"/>
      <c r="AZ1062" s="154"/>
      <c r="BA1062" s="154"/>
      <c r="BB1062" s="154"/>
      <c r="BC1062" s="154"/>
      <c r="BD1062" s="154"/>
      <c r="BE1062" s="154"/>
      <c r="BF1062" s="154"/>
      <c r="BG1062" s="154"/>
      <c r="BH1062" s="154"/>
      <c r="BI1062" s="154"/>
      <c r="BJ1062" s="154"/>
      <c r="BK1062" s="154"/>
      <c r="BL1062" s="154"/>
      <c r="BM1062" s="154"/>
    </row>
    <row r="1063">
      <c r="A1063" s="154"/>
      <c r="B1063" s="154"/>
      <c r="C1063" s="305"/>
      <c r="D1063" s="305"/>
      <c r="E1063" s="305"/>
      <c r="F1063" s="154"/>
      <c r="G1063" s="154"/>
      <c r="H1063" s="154"/>
      <c r="I1063" s="154"/>
      <c r="J1063" s="154"/>
      <c r="K1063" s="154"/>
      <c r="L1063" s="154"/>
      <c r="M1063" s="154"/>
      <c r="N1063" s="154"/>
      <c r="O1063" s="154"/>
      <c r="P1063" s="154"/>
      <c r="Q1063" s="154"/>
      <c r="R1063" s="154"/>
      <c r="S1063" s="154"/>
      <c r="T1063" s="154"/>
      <c r="U1063" s="154"/>
      <c r="V1063" s="154"/>
      <c r="W1063" s="154"/>
      <c r="X1063" s="154"/>
      <c r="Y1063" s="154"/>
      <c r="Z1063" s="154"/>
      <c r="AA1063" s="154"/>
      <c r="AB1063" s="154"/>
      <c r="AC1063" s="154"/>
      <c r="AD1063" s="154"/>
      <c r="AE1063" s="154"/>
      <c r="AF1063" s="154"/>
      <c r="AG1063" s="154"/>
      <c r="AH1063" s="154"/>
      <c r="AI1063" s="154"/>
      <c r="AJ1063" s="154"/>
      <c r="AK1063" s="154"/>
      <c r="AL1063" s="154"/>
      <c r="AM1063" s="154"/>
      <c r="AN1063" s="154"/>
      <c r="AO1063" s="154"/>
      <c r="AP1063" s="154"/>
      <c r="AQ1063" s="154"/>
      <c r="AR1063" s="154"/>
      <c r="AS1063" s="154"/>
      <c r="AT1063" s="154"/>
      <c r="AU1063" s="154"/>
      <c r="AV1063" s="154"/>
      <c r="AW1063" s="154"/>
      <c r="AX1063" s="154"/>
      <c r="AY1063" s="154"/>
      <c r="AZ1063" s="154"/>
      <c r="BA1063" s="154"/>
      <c r="BB1063" s="154"/>
      <c r="BC1063" s="154"/>
      <c r="BD1063" s="154"/>
      <c r="BE1063" s="154"/>
      <c r="BF1063" s="154"/>
      <c r="BG1063" s="154"/>
      <c r="BH1063" s="154"/>
      <c r="BI1063" s="154"/>
      <c r="BJ1063" s="154"/>
      <c r="BK1063" s="154"/>
      <c r="BL1063" s="154"/>
      <c r="BM1063" s="154"/>
    </row>
    <row r="1064">
      <c r="A1064" s="154"/>
      <c r="B1064" s="154"/>
      <c r="C1064" s="305"/>
      <c r="D1064" s="305"/>
      <c r="E1064" s="305"/>
      <c r="F1064" s="154"/>
      <c r="G1064" s="154"/>
      <c r="H1064" s="154"/>
      <c r="I1064" s="154"/>
      <c r="J1064" s="154"/>
      <c r="K1064" s="154"/>
      <c r="L1064" s="154"/>
      <c r="M1064" s="154"/>
      <c r="N1064" s="154"/>
      <c r="O1064" s="154"/>
      <c r="P1064" s="154"/>
      <c r="Q1064" s="154"/>
      <c r="R1064" s="154"/>
      <c r="S1064" s="154"/>
      <c r="T1064" s="154"/>
      <c r="U1064" s="154"/>
      <c r="V1064" s="154"/>
      <c r="W1064" s="154"/>
      <c r="X1064" s="154"/>
      <c r="Y1064" s="154"/>
      <c r="Z1064" s="154"/>
      <c r="AA1064" s="154"/>
      <c r="AB1064" s="154"/>
      <c r="AC1064" s="154"/>
      <c r="AD1064" s="154"/>
      <c r="AE1064" s="154"/>
      <c r="AF1064" s="154"/>
      <c r="AG1064" s="154"/>
      <c r="AH1064" s="154"/>
      <c r="AI1064" s="154"/>
      <c r="AJ1064" s="154"/>
      <c r="AK1064" s="154"/>
      <c r="AL1064" s="154"/>
      <c r="AM1064" s="154"/>
      <c r="AN1064" s="154"/>
      <c r="AO1064" s="154"/>
      <c r="AP1064" s="154"/>
      <c r="AQ1064" s="154"/>
      <c r="AR1064" s="154"/>
      <c r="AS1064" s="154"/>
      <c r="AT1064" s="154"/>
      <c r="AU1064" s="154"/>
      <c r="AV1064" s="154"/>
      <c r="AW1064" s="154"/>
      <c r="AX1064" s="154"/>
      <c r="AY1064" s="154"/>
      <c r="AZ1064" s="154"/>
      <c r="BA1064" s="154"/>
      <c r="BB1064" s="154"/>
      <c r="BC1064" s="154"/>
      <c r="BD1064" s="154"/>
      <c r="BE1064" s="154"/>
      <c r="BF1064" s="154"/>
      <c r="BG1064" s="154"/>
      <c r="BH1064" s="154"/>
      <c r="BI1064" s="154"/>
      <c r="BJ1064" s="154"/>
      <c r="BK1064" s="154"/>
      <c r="BL1064" s="154"/>
      <c r="BM1064" s="154"/>
    </row>
    <row r="1065">
      <c r="A1065" s="154"/>
      <c r="B1065" s="154"/>
      <c r="C1065" s="305"/>
      <c r="D1065" s="305"/>
      <c r="E1065" s="305"/>
      <c r="F1065" s="154"/>
      <c r="G1065" s="154"/>
      <c r="H1065" s="154"/>
      <c r="I1065" s="154"/>
      <c r="J1065" s="154"/>
      <c r="K1065" s="154"/>
      <c r="L1065" s="154"/>
      <c r="M1065" s="154"/>
      <c r="N1065" s="154"/>
      <c r="O1065" s="154"/>
      <c r="P1065" s="154"/>
      <c r="Q1065" s="154"/>
      <c r="R1065" s="154"/>
      <c r="S1065" s="154"/>
      <c r="T1065" s="154"/>
      <c r="U1065" s="154"/>
      <c r="V1065" s="154"/>
      <c r="W1065" s="154"/>
      <c r="X1065" s="154"/>
      <c r="Y1065" s="154"/>
      <c r="Z1065" s="154"/>
      <c r="AA1065" s="154"/>
      <c r="AB1065" s="154"/>
      <c r="AC1065" s="154"/>
      <c r="AD1065" s="154"/>
      <c r="AE1065" s="154"/>
      <c r="AF1065" s="154"/>
      <c r="AG1065" s="154"/>
      <c r="AH1065" s="154"/>
      <c r="AI1065" s="154"/>
      <c r="AJ1065" s="154"/>
      <c r="AK1065" s="154"/>
      <c r="AL1065" s="154"/>
      <c r="AM1065" s="154"/>
      <c r="AN1065" s="154"/>
      <c r="AO1065" s="154"/>
      <c r="AP1065" s="154"/>
      <c r="AQ1065" s="154"/>
      <c r="AR1065" s="154"/>
      <c r="AS1065" s="154"/>
      <c r="AT1065" s="154"/>
      <c r="AU1065" s="154"/>
      <c r="AV1065" s="154"/>
      <c r="AW1065" s="154"/>
      <c r="AX1065" s="154"/>
      <c r="AY1065" s="154"/>
      <c r="AZ1065" s="154"/>
      <c r="BA1065" s="154"/>
      <c r="BB1065" s="154"/>
      <c r="BC1065" s="154"/>
      <c r="BD1065" s="154"/>
      <c r="BE1065" s="154"/>
      <c r="BF1065" s="154"/>
      <c r="BG1065" s="154"/>
      <c r="BH1065" s="154"/>
      <c r="BI1065" s="154"/>
      <c r="BJ1065" s="154"/>
      <c r="BK1065" s="154"/>
      <c r="BL1065" s="154"/>
      <c r="BM1065" s="154"/>
    </row>
    <row r="1066">
      <c r="A1066" s="154"/>
      <c r="B1066" s="154"/>
      <c r="C1066" s="305"/>
      <c r="D1066" s="305"/>
      <c r="E1066" s="305"/>
      <c r="F1066" s="154"/>
      <c r="G1066" s="154"/>
      <c r="H1066" s="154"/>
      <c r="I1066" s="154"/>
      <c r="J1066" s="154"/>
      <c r="K1066" s="154"/>
      <c r="L1066" s="154"/>
      <c r="M1066" s="154"/>
      <c r="N1066" s="154"/>
      <c r="O1066" s="154"/>
      <c r="P1066" s="154"/>
      <c r="Q1066" s="154"/>
      <c r="R1066" s="154"/>
      <c r="S1066" s="154"/>
      <c r="T1066" s="154"/>
      <c r="U1066" s="154"/>
      <c r="V1066" s="154"/>
      <c r="W1066" s="154"/>
      <c r="X1066" s="154"/>
      <c r="Y1066" s="154"/>
      <c r="Z1066" s="154"/>
      <c r="AA1066" s="154"/>
      <c r="AB1066" s="154"/>
      <c r="AC1066" s="154"/>
      <c r="AD1066" s="154"/>
      <c r="AE1066" s="154"/>
      <c r="AF1066" s="154"/>
      <c r="AG1066" s="154"/>
      <c r="AH1066" s="154"/>
      <c r="AI1066" s="154"/>
      <c r="AJ1066" s="154"/>
      <c r="AK1066" s="154"/>
      <c r="AL1066" s="154"/>
      <c r="AM1066" s="154"/>
      <c r="AN1066" s="154"/>
      <c r="AO1066" s="154"/>
      <c r="AP1066" s="154"/>
      <c r="AQ1066" s="154"/>
      <c r="AR1066" s="154"/>
      <c r="AS1066" s="154"/>
      <c r="AT1066" s="154"/>
      <c r="AU1066" s="154"/>
      <c r="AV1066" s="154"/>
      <c r="AW1066" s="154"/>
      <c r="AX1066" s="154"/>
      <c r="AY1066" s="154"/>
      <c r="AZ1066" s="154"/>
      <c r="BA1066" s="154"/>
      <c r="BB1066" s="154"/>
      <c r="BC1066" s="154"/>
      <c r="BD1066" s="154"/>
      <c r="BE1066" s="154"/>
      <c r="BF1066" s="154"/>
      <c r="BG1066" s="154"/>
      <c r="BH1066" s="154"/>
      <c r="BI1066" s="154"/>
      <c r="BJ1066" s="154"/>
      <c r="BK1066" s="154"/>
      <c r="BL1066" s="154"/>
      <c r="BM1066" s="154"/>
    </row>
    <row r="1067">
      <c r="A1067" s="154"/>
      <c r="B1067" s="154"/>
      <c r="C1067" s="305"/>
      <c r="D1067" s="305"/>
      <c r="E1067" s="305"/>
      <c r="F1067" s="154"/>
      <c r="G1067" s="154"/>
      <c r="H1067" s="154"/>
      <c r="I1067" s="154"/>
      <c r="J1067" s="154"/>
      <c r="K1067" s="154"/>
      <c r="L1067" s="154"/>
      <c r="M1067" s="154"/>
      <c r="N1067" s="154"/>
      <c r="O1067" s="154"/>
      <c r="P1067" s="154"/>
      <c r="Q1067" s="154"/>
      <c r="R1067" s="154"/>
      <c r="S1067" s="154"/>
      <c r="T1067" s="154"/>
      <c r="U1067" s="154"/>
      <c r="V1067" s="154"/>
      <c r="W1067" s="154"/>
      <c r="X1067" s="154"/>
      <c r="Y1067" s="154"/>
      <c r="Z1067" s="154"/>
      <c r="AA1067" s="154"/>
      <c r="AB1067" s="154"/>
      <c r="AC1067" s="154"/>
      <c r="AD1067" s="154"/>
      <c r="AE1067" s="154"/>
      <c r="AF1067" s="154"/>
      <c r="AG1067" s="154"/>
      <c r="AH1067" s="154"/>
      <c r="AI1067" s="154"/>
      <c r="AJ1067" s="154"/>
      <c r="AK1067" s="154"/>
      <c r="AL1067" s="154"/>
      <c r="AM1067" s="154"/>
      <c r="AN1067" s="154"/>
      <c r="AO1067" s="154"/>
      <c r="AP1067" s="154"/>
      <c r="AQ1067" s="154"/>
      <c r="AR1067" s="154"/>
      <c r="AS1067" s="154"/>
      <c r="AT1067" s="154"/>
      <c r="AU1067" s="154"/>
      <c r="AV1067" s="154"/>
      <c r="AW1067" s="154"/>
      <c r="AX1067" s="154"/>
      <c r="AY1067" s="154"/>
      <c r="AZ1067" s="154"/>
      <c r="BA1067" s="154"/>
      <c r="BB1067" s="154"/>
      <c r="BC1067" s="154"/>
      <c r="BD1067" s="154"/>
      <c r="BE1067" s="154"/>
      <c r="BF1067" s="154"/>
      <c r="BG1067" s="154"/>
      <c r="BH1067" s="154"/>
      <c r="BI1067" s="154"/>
      <c r="BJ1067" s="154"/>
      <c r="BK1067" s="154"/>
      <c r="BL1067" s="154"/>
      <c r="BM1067" s="154"/>
    </row>
    <row r="1068">
      <c r="A1068" s="154"/>
      <c r="B1068" s="154"/>
      <c r="C1068" s="305"/>
      <c r="D1068" s="305"/>
      <c r="E1068" s="305"/>
      <c r="F1068" s="154"/>
      <c r="G1068" s="154"/>
      <c r="H1068" s="154"/>
      <c r="I1068" s="154"/>
      <c r="J1068" s="154"/>
      <c r="K1068" s="154"/>
      <c r="L1068" s="154"/>
      <c r="M1068" s="154"/>
      <c r="N1068" s="154"/>
      <c r="O1068" s="154"/>
      <c r="P1068" s="154"/>
      <c r="Q1068" s="154"/>
      <c r="R1068" s="154"/>
      <c r="S1068" s="154"/>
      <c r="T1068" s="154"/>
      <c r="U1068" s="154"/>
      <c r="V1068" s="154"/>
      <c r="W1068" s="154"/>
      <c r="X1068" s="154"/>
      <c r="Y1068" s="154"/>
      <c r="Z1068" s="154"/>
      <c r="AA1068" s="154"/>
      <c r="AB1068" s="154"/>
      <c r="AC1068" s="154"/>
      <c r="AD1068" s="154"/>
      <c r="AE1068" s="154"/>
      <c r="AF1068" s="154"/>
      <c r="AG1068" s="154"/>
      <c r="AH1068" s="154"/>
      <c r="AI1068" s="154"/>
      <c r="AJ1068" s="154"/>
      <c r="AK1068" s="154"/>
      <c r="AL1068" s="154"/>
      <c r="AM1068" s="154"/>
      <c r="AN1068" s="154"/>
      <c r="AO1068" s="154"/>
      <c r="AP1068" s="154"/>
      <c r="AQ1068" s="154"/>
      <c r="AR1068" s="154"/>
      <c r="AS1068" s="154"/>
      <c r="AT1068" s="154"/>
      <c r="AU1068" s="154"/>
      <c r="AV1068" s="154"/>
      <c r="AW1068" s="154"/>
      <c r="AX1068" s="154"/>
      <c r="AY1068" s="154"/>
      <c r="AZ1068" s="154"/>
      <c r="BA1068" s="154"/>
      <c r="BB1068" s="154"/>
      <c r="BC1068" s="154"/>
      <c r="BD1068" s="154"/>
      <c r="BE1068" s="154"/>
      <c r="BF1068" s="154"/>
      <c r="BG1068" s="154"/>
      <c r="BH1068" s="154"/>
      <c r="BI1068" s="154"/>
      <c r="BJ1068" s="154"/>
      <c r="BK1068" s="154"/>
      <c r="BL1068" s="154"/>
      <c r="BM1068" s="154"/>
    </row>
    <row r="1069">
      <c r="A1069" s="154"/>
      <c r="B1069" s="154"/>
      <c r="C1069" s="305"/>
      <c r="D1069" s="305"/>
      <c r="E1069" s="305"/>
      <c r="F1069" s="154"/>
      <c r="G1069" s="154"/>
      <c r="H1069" s="154"/>
      <c r="I1069" s="154"/>
      <c r="J1069" s="154"/>
      <c r="K1069" s="154"/>
      <c r="L1069" s="154"/>
      <c r="M1069" s="154"/>
      <c r="N1069" s="154"/>
      <c r="O1069" s="154"/>
      <c r="P1069" s="154"/>
      <c r="Q1069" s="154"/>
      <c r="R1069" s="154"/>
      <c r="S1069" s="154"/>
      <c r="T1069" s="154"/>
      <c r="U1069" s="154"/>
      <c r="V1069" s="154"/>
      <c r="W1069" s="154"/>
      <c r="X1069" s="154"/>
      <c r="Y1069" s="154"/>
      <c r="Z1069" s="154"/>
      <c r="AA1069" s="154"/>
      <c r="AB1069" s="154"/>
      <c r="AC1069" s="154"/>
      <c r="AD1069" s="154"/>
      <c r="AE1069" s="154"/>
      <c r="AF1069" s="154"/>
      <c r="AG1069" s="154"/>
      <c r="AH1069" s="154"/>
      <c r="AI1069" s="154"/>
      <c r="AJ1069" s="154"/>
      <c r="AK1069" s="154"/>
      <c r="AL1069" s="154"/>
      <c r="AM1069" s="154"/>
      <c r="AN1069" s="154"/>
      <c r="AO1069" s="154"/>
      <c r="AP1069" s="154"/>
      <c r="AQ1069" s="154"/>
      <c r="AR1069" s="154"/>
      <c r="AS1069" s="154"/>
      <c r="AT1069" s="154"/>
      <c r="AU1069" s="154"/>
      <c r="AV1069" s="154"/>
      <c r="AW1069" s="154"/>
      <c r="AX1069" s="154"/>
      <c r="AY1069" s="154"/>
      <c r="AZ1069" s="154"/>
      <c r="BA1069" s="154"/>
      <c r="BB1069" s="154"/>
      <c r="BC1069" s="154"/>
      <c r="BD1069" s="154"/>
      <c r="BE1069" s="154"/>
      <c r="BF1069" s="154"/>
      <c r="BG1069" s="154"/>
      <c r="BH1069" s="154"/>
      <c r="BI1069" s="154"/>
      <c r="BJ1069" s="154"/>
      <c r="BK1069" s="154"/>
      <c r="BL1069" s="154"/>
      <c r="BM1069" s="154"/>
    </row>
    <row r="1070">
      <c r="A1070" s="154"/>
      <c r="B1070" s="154"/>
      <c r="C1070" s="305"/>
      <c r="D1070" s="305"/>
      <c r="E1070" s="305"/>
      <c r="F1070" s="154"/>
      <c r="G1070" s="154"/>
      <c r="H1070" s="154"/>
      <c r="I1070" s="154"/>
      <c r="J1070" s="154"/>
      <c r="K1070" s="154"/>
      <c r="L1070" s="154"/>
      <c r="M1070" s="154"/>
      <c r="N1070" s="154"/>
      <c r="O1070" s="154"/>
      <c r="P1070" s="154"/>
      <c r="Q1070" s="154"/>
      <c r="R1070" s="154"/>
      <c r="S1070" s="154"/>
      <c r="T1070" s="154"/>
      <c r="U1070" s="154"/>
      <c r="V1070" s="154"/>
      <c r="W1070" s="154"/>
      <c r="X1070" s="154"/>
      <c r="Y1070" s="154"/>
      <c r="Z1070" s="154"/>
      <c r="AA1070" s="154"/>
      <c r="AB1070" s="154"/>
      <c r="AC1070" s="154"/>
      <c r="AD1070" s="154"/>
      <c r="AE1070" s="154"/>
      <c r="AF1070" s="154"/>
      <c r="AG1070" s="154"/>
      <c r="AH1070" s="154"/>
      <c r="AI1070" s="154"/>
      <c r="AJ1070" s="154"/>
      <c r="AK1070" s="154"/>
      <c r="AL1070" s="154"/>
      <c r="AM1070" s="154"/>
      <c r="AN1070" s="154"/>
      <c r="AO1070" s="154"/>
      <c r="AP1070" s="154"/>
      <c r="AQ1070" s="154"/>
      <c r="AR1070" s="154"/>
      <c r="AS1070" s="154"/>
      <c r="AT1070" s="154"/>
      <c r="AU1070" s="154"/>
      <c r="AV1070" s="154"/>
      <c r="AW1070" s="154"/>
      <c r="AX1070" s="154"/>
      <c r="AY1070" s="154"/>
      <c r="AZ1070" s="154"/>
      <c r="BA1070" s="154"/>
      <c r="BB1070" s="154"/>
      <c r="BC1070" s="154"/>
      <c r="BD1070" s="154"/>
      <c r="BE1070" s="154"/>
      <c r="BF1070" s="154"/>
      <c r="BG1070" s="154"/>
      <c r="BH1070" s="154"/>
      <c r="BI1070" s="154"/>
      <c r="BJ1070" s="154"/>
      <c r="BK1070" s="154"/>
      <c r="BL1070" s="154"/>
      <c r="BM1070" s="154"/>
    </row>
    <row r="1071">
      <c r="A1071" s="154"/>
      <c r="B1071" s="154"/>
      <c r="C1071" s="305"/>
      <c r="D1071" s="305"/>
      <c r="E1071" s="305"/>
      <c r="F1071" s="154"/>
      <c r="G1071" s="154"/>
      <c r="H1071" s="154"/>
      <c r="I1071" s="154"/>
      <c r="J1071" s="154"/>
      <c r="K1071" s="154"/>
      <c r="L1071" s="154"/>
      <c r="M1071" s="154"/>
      <c r="N1071" s="154"/>
      <c r="O1071" s="154"/>
      <c r="P1071" s="154"/>
      <c r="Q1071" s="154"/>
      <c r="R1071" s="154"/>
      <c r="S1071" s="154"/>
      <c r="T1071" s="154"/>
      <c r="U1071" s="154"/>
      <c r="V1071" s="154"/>
      <c r="W1071" s="154"/>
      <c r="X1071" s="154"/>
      <c r="Y1071" s="154"/>
      <c r="Z1071" s="154"/>
      <c r="AA1071" s="154"/>
      <c r="AB1071" s="154"/>
      <c r="AC1071" s="154"/>
      <c r="AD1071" s="154"/>
      <c r="AE1071" s="154"/>
      <c r="AF1071" s="154"/>
      <c r="AG1071" s="154"/>
      <c r="AH1071" s="154"/>
      <c r="AI1071" s="154"/>
      <c r="AJ1071" s="154"/>
      <c r="AK1071" s="154"/>
      <c r="AL1071" s="154"/>
      <c r="AM1071" s="154"/>
      <c r="AN1071" s="154"/>
      <c r="AO1071" s="154"/>
      <c r="AP1071" s="154"/>
      <c r="AQ1071" s="154"/>
      <c r="AR1071" s="154"/>
      <c r="AS1071" s="154"/>
      <c r="AT1071" s="154"/>
      <c r="AU1071" s="154"/>
      <c r="AV1071" s="154"/>
      <c r="AW1071" s="154"/>
      <c r="AX1071" s="154"/>
      <c r="AY1071" s="154"/>
      <c r="AZ1071" s="154"/>
      <c r="BA1071" s="154"/>
      <c r="BB1071" s="154"/>
      <c r="BC1071" s="154"/>
      <c r="BD1071" s="154"/>
      <c r="BE1071" s="154"/>
      <c r="BF1071" s="154"/>
      <c r="BG1071" s="154"/>
      <c r="BH1071" s="154"/>
      <c r="BI1071" s="154"/>
      <c r="BJ1071" s="154"/>
      <c r="BK1071" s="154"/>
      <c r="BL1071" s="154"/>
      <c r="BM1071" s="154"/>
    </row>
    <row r="1072">
      <c r="A1072" s="154"/>
      <c r="B1072" s="154"/>
      <c r="C1072" s="305"/>
      <c r="D1072" s="305"/>
      <c r="E1072" s="305"/>
      <c r="F1072" s="154"/>
      <c r="G1072" s="154"/>
      <c r="H1072" s="154"/>
      <c r="I1072" s="154"/>
      <c r="J1072" s="154"/>
      <c r="K1072" s="154"/>
      <c r="L1072" s="154"/>
      <c r="M1072" s="154"/>
      <c r="N1072" s="154"/>
      <c r="O1072" s="154"/>
      <c r="P1072" s="154"/>
      <c r="Q1072" s="154"/>
      <c r="R1072" s="154"/>
      <c r="S1072" s="154"/>
      <c r="T1072" s="154"/>
      <c r="U1072" s="154"/>
      <c r="V1072" s="154"/>
      <c r="W1072" s="154"/>
      <c r="X1072" s="154"/>
      <c r="Y1072" s="154"/>
      <c r="Z1072" s="154"/>
      <c r="AA1072" s="154"/>
      <c r="AB1072" s="154"/>
      <c r="AC1072" s="154"/>
      <c r="AD1072" s="154"/>
      <c r="AE1072" s="154"/>
      <c r="AF1072" s="154"/>
      <c r="AG1072" s="154"/>
      <c r="AH1072" s="154"/>
      <c r="AI1072" s="154"/>
      <c r="AJ1072" s="154"/>
      <c r="AK1072" s="154"/>
      <c r="AL1072" s="154"/>
      <c r="AM1072" s="154"/>
      <c r="AN1072" s="154"/>
      <c r="AO1072" s="154"/>
      <c r="AP1072" s="154"/>
      <c r="AQ1072" s="154"/>
      <c r="AR1072" s="154"/>
      <c r="AS1072" s="154"/>
      <c r="AT1072" s="154"/>
      <c r="AU1072" s="154"/>
      <c r="AV1072" s="154"/>
      <c r="AW1072" s="154"/>
      <c r="AX1072" s="154"/>
      <c r="AY1072" s="154"/>
      <c r="AZ1072" s="154"/>
      <c r="BA1072" s="154"/>
      <c r="BB1072" s="154"/>
      <c r="BC1072" s="154"/>
      <c r="BD1072" s="154"/>
      <c r="BE1072" s="154"/>
      <c r="BF1072" s="154"/>
      <c r="BG1072" s="154"/>
      <c r="BH1072" s="154"/>
      <c r="BI1072" s="154"/>
      <c r="BJ1072" s="154"/>
      <c r="BK1072" s="154"/>
      <c r="BL1072" s="154"/>
      <c r="BM1072" s="154"/>
    </row>
    <row r="1073">
      <c r="A1073" s="154"/>
      <c r="B1073" s="154"/>
      <c r="C1073" s="305"/>
      <c r="D1073" s="305"/>
      <c r="E1073" s="305"/>
      <c r="F1073" s="154"/>
      <c r="G1073" s="154"/>
      <c r="H1073" s="154"/>
      <c r="I1073" s="154"/>
      <c r="J1073" s="154"/>
      <c r="K1073" s="154"/>
      <c r="L1073" s="154"/>
      <c r="M1073" s="154"/>
      <c r="N1073" s="154"/>
      <c r="O1073" s="154"/>
      <c r="P1073" s="154"/>
      <c r="Q1073" s="154"/>
      <c r="R1073" s="154"/>
      <c r="S1073" s="154"/>
      <c r="T1073" s="154"/>
      <c r="U1073" s="154"/>
      <c r="V1073" s="154"/>
      <c r="W1073" s="154"/>
      <c r="X1073" s="154"/>
      <c r="Y1073" s="154"/>
      <c r="Z1073" s="154"/>
      <c r="AA1073" s="154"/>
      <c r="AB1073" s="154"/>
      <c r="AC1073" s="154"/>
      <c r="AD1073" s="154"/>
      <c r="AE1073" s="154"/>
      <c r="AF1073" s="154"/>
      <c r="AG1073" s="154"/>
      <c r="AH1073" s="154"/>
      <c r="AI1073" s="154"/>
      <c r="AJ1073" s="154"/>
      <c r="AK1073" s="154"/>
      <c r="AL1073" s="154"/>
      <c r="AM1073" s="154"/>
      <c r="AN1073" s="154"/>
      <c r="AO1073" s="154"/>
      <c r="AP1073" s="154"/>
      <c r="AQ1073" s="154"/>
      <c r="AR1073" s="154"/>
      <c r="AS1073" s="154"/>
      <c r="AT1073" s="154"/>
      <c r="AU1073" s="154"/>
      <c r="AV1073" s="154"/>
      <c r="AW1073" s="154"/>
      <c r="AX1073" s="154"/>
      <c r="AY1073" s="154"/>
      <c r="AZ1073" s="154"/>
      <c r="BA1073" s="154"/>
      <c r="BB1073" s="154"/>
      <c r="BC1073" s="154"/>
      <c r="BD1073" s="154"/>
      <c r="BE1073" s="154"/>
      <c r="BF1073" s="154"/>
      <c r="BG1073" s="154"/>
      <c r="BH1073" s="154"/>
      <c r="BI1073" s="154"/>
      <c r="BJ1073" s="154"/>
      <c r="BK1073" s="154"/>
      <c r="BL1073" s="154"/>
      <c r="BM1073" s="154"/>
    </row>
    <row r="1074">
      <c r="A1074" s="154"/>
      <c r="B1074" s="154"/>
      <c r="C1074" s="305"/>
      <c r="D1074" s="305"/>
      <c r="E1074" s="305"/>
      <c r="F1074" s="154"/>
      <c r="G1074" s="154"/>
      <c r="H1074" s="154"/>
      <c r="I1074" s="154"/>
      <c r="J1074" s="154"/>
      <c r="K1074" s="154"/>
      <c r="L1074" s="154"/>
      <c r="M1074" s="154"/>
      <c r="N1074" s="154"/>
      <c r="O1074" s="154"/>
      <c r="P1074" s="154"/>
      <c r="Q1074" s="154"/>
      <c r="R1074" s="154"/>
      <c r="S1074" s="154"/>
      <c r="T1074" s="154"/>
      <c r="U1074" s="154"/>
      <c r="V1074" s="154"/>
      <c r="W1074" s="154"/>
      <c r="X1074" s="154"/>
      <c r="Y1074" s="154"/>
      <c r="Z1074" s="154"/>
      <c r="AA1074" s="154"/>
      <c r="AB1074" s="154"/>
      <c r="AC1074" s="154"/>
      <c r="AD1074" s="154"/>
      <c r="AE1074" s="154"/>
      <c r="AF1074" s="154"/>
      <c r="AG1074" s="154"/>
      <c r="AH1074" s="154"/>
      <c r="AI1074" s="154"/>
      <c r="AJ1074" s="154"/>
      <c r="AK1074" s="154"/>
      <c r="AL1074" s="154"/>
      <c r="AM1074" s="154"/>
      <c r="AN1074" s="154"/>
      <c r="AO1074" s="154"/>
      <c r="AP1074" s="154"/>
      <c r="AQ1074" s="154"/>
      <c r="AR1074" s="154"/>
      <c r="AS1074" s="154"/>
      <c r="AT1074" s="154"/>
      <c r="AU1074" s="154"/>
      <c r="AV1074" s="154"/>
      <c r="AW1074" s="154"/>
      <c r="AX1074" s="154"/>
      <c r="AY1074" s="154"/>
      <c r="AZ1074" s="154"/>
      <c r="BA1074" s="154"/>
      <c r="BB1074" s="154"/>
      <c r="BC1074" s="154"/>
      <c r="BD1074" s="154"/>
      <c r="BE1074" s="154"/>
      <c r="BF1074" s="154"/>
      <c r="BG1074" s="154"/>
      <c r="BH1074" s="154"/>
      <c r="BI1074" s="154"/>
      <c r="BJ1074" s="154"/>
      <c r="BK1074" s="154"/>
      <c r="BL1074" s="154"/>
      <c r="BM1074" s="154"/>
    </row>
    <row r="1075">
      <c r="A1075" s="154"/>
      <c r="B1075" s="154"/>
      <c r="C1075" s="305"/>
      <c r="D1075" s="305"/>
      <c r="E1075" s="305"/>
      <c r="F1075" s="154"/>
      <c r="G1075" s="154"/>
      <c r="H1075" s="154"/>
      <c r="I1075" s="154"/>
      <c r="J1075" s="154"/>
      <c r="K1075" s="154"/>
      <c r="L1075" s="154"/>
      <c r="M1075" s="154"/>
      <c r="N1075" s="154"/>
      <c r="O1075" s="154"/>
      <c r="P1075" s="154"/>
      <c r="Q1075" s="154"/>
      <c r="R1075" s="154"/>
      <c r="S1075" s="154"/>
      <c r="T1075" s="154"/>
      <c r="U1075" s="154"/>
      <c r="V1075" s="154"/>
      <c r="W1075" s="154"/>
      <c r="X1075" s="154"/>
      <c r="Y1075" s="154"/>
      <c r="Z1075" s="154"/>
      <c r="AA1075" s="154"/>
      <c r="AB1075" s="154"/>
      <c r="AC1075" s="154"/>
      <c r="AD1075" s="154"/>
      <c r="AE1075" s="154"/>
      <c r="AF1075" s="154"/>
      <c r="AG1075" s="154"/>
      <c r="AH1075" s="154"/>
      <c r="AI1075" s="154"/>
      <c r="AJ1075" s="154"/>
      <c r="AK1075" s="154"/>
      <c r="AL1075" s="154"/>
      <c r="AM1075" s="154"/>
      <c r="AN1075" s="154"/>
      <c r="AO1075" s="154"/>
      <c r="AP1075" s="154"/>
      <c r="AQ1075" s="154"/>
      <c r="AR1075" s="154"/>
      <c r="AS1075" s="154"/>
      <c r="AT1075" s="154"/>
      <c r="AU1075" s="154"/>
      <c r="AV1075" s="154"/>
      <c r="AW1075" s="154"/>
      <c r="AX1075" s="154"/>
      <c r="AY1075" s="154"/>
      <c r="AZ1075" s="154"/>
      <c r="BA1075" s="154"/>
      <c r="BB1075" s="154"/>
      <c r="BC1075" s="154"/>
      <c r="BD1075" s="154"/>
      <c r="BE1075" s="154"/>
      <c r="BF1075" s="154"/>
      <c r="BG1075" s="154"/>
      <c r="BH1075" s="154"/>
      <c r="BI1075" s="154"/>
      <c r="BJ1075" s="154"/>
      <c r="BK1075" s="154"/>
      <c r="BL1075" s="154"/>
      <c r="BM1075" s="154"/>
    </row>
    <row r="1076">
      <c r="A1076" s="154"/>
      <c r="B1076" s="154"/>
      <c r="C1076" s="305"/>
      <c r="D1076" s="305"/>
      <c r="E1076" s="305"/>
      <c r="F1076" s="154"/>
      <c r="G1076" s="154"/>
      <c r="H1076" s="154"/>
      <c r="I1076" s="154"/>
      <c r="J1076" s="154"/>
      <c r="K1076" s="154"/>
      <c r="L1076" s="154"/>
      <c r="M1076" s="154"/>
      <c r="N1076" s="154"/>
      <c r="O1076" s="154"/>
      <c r="P1076" s="154"/>
      <c r="Q1076" s="154"/>
      <c r="R1076" s="154"/>
      <c r="S1076" s="154"/>
      <c r="T1076" s="154"/>
      <c r="U1076" s="154"/>
      <c r="V1076" s="154"/>
      <c r="W1076" s="154"/>
      <c r="X1076" s="154"/>
      <c r="Y1076" s="154"/>
      <c r="Z1076" s="154"/>
      <c r="AA1076" s="154"/>
      <c r="AB1076" s="154"/>
      <c r="AC1076" s="154"/>
      <c r="AD1076" s="154"/>
      <c r="AE1076" s="154"/>
      <c r="AF1076" s="154"/>
      <c r="AG1076" s="154"/>
      <c r="AH1076" s="154"/>
      <c r="AI1076" s="154"/>
      <c r="AJ1076" s="154"/>
      <c r="AK1076" s="154"/>
      <c r="AL1076" s="154"/>
      <c r="AM1076" s="154"/>
      <c r="AN1076" s="154"/>
      <c r="AO1076" s="154"/>
      <c r="AP1076" s="154"/>
      <c r="AQ1076" s="154"/>
      <c r="AR1076" s="154"/>
      <c r="AS1076" s="154"/>
      <c r="AT1076" s="154"/>
      <c r="AU1076" s="154"/>
      <c r="AV1076" s="154"/>
      <c r="AW1076" s="154"/>
      <c r="AX1076" s="154"/>
      <c r="AY1076" s="154"/>
      <c r="AZ1076" s="154"/>
      <c r="BA1076" s="154"/>
      <c r="BB1076" s="154"/>
      <c r="BC1076" s="154"/>
      <c r="BD1076" s="154"/>
      <c r="BE1076" s="154"/>
      <c r="BF1076" s="154"/>
      <c r="BG1076" s="154"/>
      <c r="BH1076" s="154"/>
      <c r="BI1076" s="154"/>
      <c r="BJ1076" s="154"/>
      <c r="BK1076" s="154"/>
      <c r="BL1076" s="154"/>
      <c r="BM1076" s="154"/>
    </row>
    <row r="1077">
      <c r="A1077" s="154"/>
      <c r="B1077" s="154"/>
      <c r="C1077" s="305"/>
      <c r="D1077" s="305"/>
      <c r="E1077" s="305"/>
      <c r="F1077" s="154"/>
      <c r="G1077" s="154"/>
      <c r="H1077" s="154"/>
      <c r="I1077" s="154"/>
      <c r="J1077" s="154"/>
      <c r="K1077" s="154"/>
      <c r="L1077" s="154"/>
      <c r="M1077" s="154"/>
      <c r="N1077" s="154"/>
      <c r="O1077" s="154"/>
      <c r="P1077" s="154"/>
      <c r="Q1077" s="154"/>
      <c r="R1077" s="154"/>
      <c r="S1077" s="154"/>
      <c r="T1077" s="154"/>
      <c r="U1077" s="154"/>
      <c r="V1077" s="154"/>
      <c r="W1077" s="154"/>
      <c r="X1077" s="154"/>
      <c r="Y1077" s="154"/>
      <c r="Z1077" s="154"/>
      <c r="AA1077" s="154"/>
      <c r="AB1077" s="154"/>
      <c r="AC1077" s="154"/>
      <c r="AD1077" s="154"/>
      <c r="AE1077" s="154"/>
      <c r="AF1077" s="154"/>
      <c r="AG1077" s="154"/>
      <c r="AH1077" s="154"/>
      <c r="AI1077" s="154"/>
      <c r="AJ1077" s="154"/>
      <c r="AK1077" s="154"/>
      <c r="AL1077" s="154"/>
      <c r="AM1077" s="154"/>
      <c r="AN1077" s="154"/>
      <c r="AO1077" s="154"/>
      <c r="AP1077" s="154"/>
      <c r="AQ1077" s="154"/>
      <c r="AR1077" s="154"/>
      <c r="AS1077" s="154"/>
      <c r="AT1077" s="154"/>
      <c r="AU1077" s="154"/>
      <c r="AV1077" s="154"/>
      <c r="AW1077" s="154"/>
      <c r="AX1077" s="154"/>
      <c r="AY1077" s="154"/>
      <c r="AZ1077" s="154"/>
      <c r="BA1077" s="154"/>
      <c r="BB1077" s="154"/>
      <c r="BC1077" s="154"/>
      <c r="BD1077" s="154"/>
      <c r="BE1077" s="154"/>
      <c r="BF1077" s="154"/>
      <c r="BG1077" s="154"/>
      <c r="BH1077" s="154"/>
      <c r="BI1077" s="154"/>
      <c r="BJ1077" s="154"/>
      <c r="BK1077" s="154"/>
      <c r="BL1077" s="154"/>
      <c r="BM1077" s="154"/>
    </row>
    <row r="1078">
      <c r="A1078" s="154"/>
      <c r="B1078" s="154"/>
      <c r="C1078" s="305"/>
      <c r="D1078" s="305"/>
      <c r="E1078" s="305"/>
      <c r="F1078" s="154"/>
      <c r="G1078" s="154"/>
      <c r="H1078" s="154"/>
      <c r="I1078" s="154"/>
      <c r="J1078" s="154"/>
      <c r="K1078" s="154"/>
      <c r="L1078" s="154"/>
      <c r="M1078" s="154"/>
      <c r="N1078" s="154"/>
      <c r="O1078" s="154"/>
      <c r="P1078" s="154"/>
      <c r="Q1078" s="154"/>
      <c r="R1078" s="154"/>
      <c r="S1078" s="154"/>
      <c r="T1078" s="154"/>
      <c r="U1078" s="154"/>
      <c r="V1078" s="154"/>
      <c r="W1078" s="154"/>
      <c r="X1078" s="154"/>
      <c r="Y1078" s="154"/>
      <c r="Z1078" s="154"/>
      <c r="AA1078" s="154"/>
      <c r="AB1078" s="154"/>
      <c r="AC1078" s="154"/>
      <c r="AD1078" s="154"/>
      <c r="AE1078" s="154"/>
      <c r="AF1078" s="154"/>
      <c r="AG1078" s="154"/>
      <c r="AH1078" s="154"/>
      <c r="AI1078" s="154"/>
      <c r="AJ1078" s="154"/>
      <c r="AK1078" s="154"/>
      <c r="AL1078" s="154"/>
      <c r="AM1078" s="154"/>
      <c r="AN1078" s="154"/>
      <c r="AO1078" s="154"/>
      <c r="AP1078" s="154"/>
      <c r="AQ1078" s="154"/>
      <c r="AR1078" s="154"/>
      <c r="AS1078" s="154"/>
      <c r="AT1078" s="154"/>
      <c r="AU1078" s="154"/>
      <c r="AV1078" s="154"/>
      <c r="AW1078" s="154"/>
      <c r="AX1078" s="154"/>
      <c r="AY1078" s="154"/>
      <c r="AZ1078" s="154"/>
      <c r="BA1078" s="154"/>
      <c r="BB1078" s="154"/>
      <c r="BC1078" s="154"/>
      <c r="BD1078" s="154"/>
      <c r="BE1078" s="154"/>
      <c r="BF1078" s="154"/>
      <c r="BG1078" s="154"/>
      <c r="BH1078" s="154"/>
      <c r="BI1078" s="154"/>
      <c r="BJ1078" s="154"/>
      <c r="BK1078" s="154"/>
      <c r="BL1078" s="154"/>
      <c r="BM1078" s="154"/>
    </row>
    <row r="1079">
      <c r="A1079" s="154"/>
      <c r="B1079" s="154"/>
      <c r="C1079" s="305"/>
      <c r="D1079" s="305"/>
      <c r="E1079" s="305"/>
      <c r="F1079" s="154"/>
      <c r="G1079" s="154"/>
      <c r="H1079" s="154"/>
      <c r="I1079" s="154"/>
      <c r="J1079" s="154"/>
      <c r="K1079" s="154"/>
      <c r="L1079" s="154"/>
      <c r="M1079" s="154"/>
      <c r="N1079" s="154"/>
      <c r="O1079" s="154"/>
      <c r="P1079" s="154"/>
      <c r="Q1079" s="154"/>
      <c r="R1079" s="154"/>
      <c r="S1079" s="154"/>
      <c r="T1079" s="154"/>
      <c r="U1079" s="154"/>
      <c r="V1079" s="154"/>
      <c r="W1079" s="154"/>
      <c r="X1079" s="154"/>
      <c r="Y1079" s="154"/>
      <c r="Z1079" s="154"/>
      <c r="AA1079" s="154"/>
      <c r="AB1079" s="154"/>
      <c r="AC1079" s="154"/>
      <c r="AD1079" s="154"/>
      <c r="AE1079" s="154"/>
      <c r="AF1079" s="154"/>
      <c r="AG1079" s="154"/>
      <c r="AH1079" s="154"/>
      <c r="AI1079" s="154"/>
      <c r="AJ1079" s="154"/>
      <c r="AK1079" s="154"/>
      <c r="AL1079" s="154"/>
      <c r="AM1079" s="154"/>
      <c r="AN1079" s="154"/>
      <c r="AO1079" s="154"/>
      <c r="AP1079" s="154"/>
      <c r="AQ1079" s="154"/>
      <c r="AR1079" s="154"/>
      <c r="AS1079" s="154"/>
      <c r="AT1079" s="154"/>
      <c r="AU1079" s="154"/>
      <c r="AV1079" s="154"/>
      <c r="AW1079" s="154"/>
      <c r="AX1079" s="154"/>
      <c r="AY1079" s="154"/>
      <c r="AZ1079" s="154"/>
      <c r="BA1079" s="154"/>
      <c r="BB1079" s="154"/>
      <c r="BC1079" s="154"/>
      <c r="BD1079" s="154"/>
      <c r="BE1079" s="154"/>
      <c r="BF1079" s="154"/>
      <c r="BG1079" s="154"/>
      <c r="BH1079" s="154"/>
      <c r="BI1079" s="154"/>
      <c r="BJ1079" s="154"/>
      <c r="BK1079" s="154"/>
      <c r="BL1079" s="154"/>
      <c r="BM1079" s="154"/>
    </row>
    <row r="1080">
      <c r="A1080" s="154"/>
      <c r="B1080" s="154"/>
      <c r="C1080" s="305"/>
      <c r="D1080" s="305"/>
      <c r="E1080" s="305"/>
      <c r="F1080" s="154"/>
      <c r="G1080" s="154"/>
      <c r="H1080" s="154"/>
      <c r="I1080" s="154"/>
      <c r="J1080" s="154"/>
      <c r="K1080" s="154"/>
      <c r="L1080" s="154"/>
      <c r="M1080" s="154"/>
      <c r="N1080" s="154"/>
      <c r="O1080" s="154"/>
      <c r="P1080" s="154"/>
      <c r="Q1080" s="154"/>
      <c r="R1080" s="154"/>
      <c r="S1080" s="154"/>
      <c r="T1080" s="154"/>
      <c r="U1080" s="154"/>
      <c r="V1080" s="154"/>
      <c r="W1080" s="154"/>
      <c r="X1080" s="154"/>
      <c r="Y1080" s="154"/>
      <c r="Z1080" s="154"/>
      <c r="AA1080" s="154"/>
      <c r="AB1080" s="154"/>
      <c r="AC1080" s="154"/>
      <c r="AD1080" s="154"/>
      <c r="AE1080" s="154"/>
      <c r="AF1080" s="154"/>
      <c r="AG1080" s="154"/>
      <c r="AH1080" s="154"/>
      <c r="AI1080" s="154"/>
      <c r="AJ1080" s="154"/>
      <c r="AK1080" s="154"/>
      <c r="AL1080" s="154"/>
      <c r="AM1080" s="154"/>
      <c r="AN1080" s="154"/>
      <c r="AO1080" s="154"/>
      <c r="AP1080" s="154"/>
      <c r="AQ1080" s="154"/>
      <c r="AR1080" s="154"/>
      <c r="AS1080" s="154"/>
      <c r="AT1080" s="154"/>
      <c r="AU1080" s="154"/>
      <c r="AV1080" s="154"/>
      <c r="AW1080" s="154"/>
      <c r="AX1080" s="154"/>
      <c r="AY1080" s="154"/>
      <c r="AZ1080" s="154"/>
      <c r="BA1080" s="154"/>
      <c r="BB1080" s="154"/>
      <c r="BC1080" s="154"/>
      <c r="BD1080" s="154"/>
      <c r="BE1080" s="154"/>
      <c r="BF1080" s="154"/>
      <c r="BG1080" s="154"/>
      <c r="BH1080" s="154"/>
      <c r="BI1080" s="154"/>
      <c r="BJ1080" s="154"/>
      <c r="BK1080" s="154"/>
      <c r="BL1080" s="154"/>
      <c r="BM1080" s="154"/>
    </row>
    <row r="1081">
      <c r="A1081" s="154"/>
      <c r="B1081" s="154"/>
      <c r="C1081" s="305"/>
      <c r="D1081" s="305"/>
      <c r="E1081" s="305"/>
      <c r="F1081" s="154"/>
      <c r="G1081" s="154"/>
      <c r="H1081" s="154"/>
      <c r="I1081" s="154"/>
      <c r="J1081" s="154"/>
      <c r="K1081" s="154"/>
      <c r="L1081" s="154"/>
      <c r="M1081" s="154"/>
      <c r="N1081" s="154"/>
      <c r="O1081" s="154"/>
      <c r="P1081" s="154"/>
      <c r="Q1081" s="154"/>
      <c r="R1081" s="154"/>
      <c r="S1081" s="154"/>
      <c r="T1081" s="154"/>
      <c r="U1081" s="154"/>
      <c r="V1081" s="154"/>
      <c r="W1081" s="154"/>
      <c r="X1081" s="154"/>
      <c r="Y1081" s="154"/>
      <c r="Z1081" s="154"/>
      <c r="AA1081" s="154"/>
      <c r="AB1081" s="154"/>
      <c r="AC1081" s="154"/>
      <c r="AD1081" s="154"/>
      <c r="AE1081" s="154"/>
      <c r="AF1081" s="154"/>
      <c r="AG1081" s="154"/>
      <c r="AH1081" s="154"/>
      <c r="AI1081" s="154"/>
      <c r="AJ1081" s="154"/>
      <c r="AK1081" s="154"/>
      <c r="AL1081" s="154"/>
      <c r="AM1081" s="154"/>
      <c r="AN1081" s="154"/>
      <c r="AO1081" s="154"/>
      <c r="AP1081" s="154"/>
      <c r="AQ1081" s="154"/>
      <c r="AR1081" s="154"/>
      <c r="AS1081" s="154"/>
      <c r="AT1081" s="154"/>
      <c r="AU1081" s="154"/>
      <c r="AV1081" s="154"/>
      <c r="AW1081" s="154"/>
      <c r="AX1081" s="154"/>
      <c r="AY1081" s="154"/>
      <c r="AZ1081" s="154"/>
      <c r="BA1081" s="154"/>
      <c r="BB1081" s="154"/>
      <c r="BC1081" s="154"/>
      <c r="BD1081" s="154"/>
      <c r="BE1081" s="154"/>
      <c r="BF1081" s="154"/>
      <c r="BG1081" s="154"/>
      <c r="BH1081" s="154"/>
      <c r="BI1081" s="154"/>
      <c r="BJ1081" s="154"/>
      <c r="BK1081" s="154"/>
      <c r="BL1081" s="154"/>
      <c r="BM1081" s="154"/>
    </row>
    <row r="1082">
      <c r="A1082" s="154"/>
      <c r="B1082" s="154"/>
      <c r="C1082" s="305"/>
      <c r="D1082" s="305"/>
      <c r="E1082" s="305"/>
      <c r="F1082" s="154"/>
      <c r="G1082" s="154"/>
      <c r="H1082" s="154"/>
      <c r="I1082" s="154"/>
      <c r="J1082" s="154"/>
      <c r="K1082" s="154"/>
      <c r="L1082" s="154"/>
      <c r="M1082" s="154"/>
      <c r="N1082" s="154"/>
      <c r="O1082" s="154"/>
      <c r="P1082" s="154"/>
      <c r="Q1082" s="154"/>
      <c r="R1082" s="154"/>
      <c r="S1082" s="154"/>
      <c r="T1082" s="154"/>
      <c r="U1082" s="154"/>
      <c r="V1082" s="154"/>
      <c r="W1082" s="154"/>
      <c r="X1082" s="154"/>
      <c r="Y1082" s="154"/>
      <c r="Z1082" s="154"/>
      <c r="AA1082" s="154"/>
      <c r="AB1082" s="154"/>
      <c r="AC1082" s="154"/>
      <c r="AD1082" s="154"/>
      <c r="AE1082" s="154"/>
      <c r="AF1082" s="154"/>
      <c r="AG1082" s="154"/>
      <c r="AH1082" s="154"/>
      <c r="AI1082" s="154"/>
      <c r="AJ1082" s="154"/>
      <c r="AK1082" s="154"/>
      <c r="AL1082" s="154"/>
      <c r="AM1082" s="154"/>
      <c r="AN1082" s="154"/>
      <c r="AO1082" s="154"/>
      <c r="AP1082" s="154"/>
      <c r="AQ1082" s="154"/>
      <c r="AR1082" s="154"/>
      <c r="AS1082" s="154"/>
      <c r="AT1082" s="154"/>
      <c r="AU1082" s="154"/>
      <c r="AV1082" s="154"/>
      <c r="AW1082" s="154"/>
      <c r="AX1082" s="154"/>
      <c r="AY1082" s="154"/>
      <c r="AZ1082" s="154"/>
      <c r="BA1082" s="154"/>
      <c r="BB1082" s="154"/>
      <c r="BC1082" s="154"/>
      <c r="BD1082" s="154"/>
      <c r="BE1082" s="154"/>
      <c r="BF1082" s="154"/>
      <c r="BG1082" s="154"/>
      <c r="BH1082" s="154"/>
      <c r="BI1082" s="154"/>
      <c r="BJ1082" s="154"/>
      <c r="BK1082" s="154"/>
      <c r="BL1082" s="154"/>
      <c r="BM1082" s="154"/>
    </row>
    <row r="1083">
      <c r="A1083" s="154"/>
      <c r="B1083" s="154"/>
      <c r="C1083" s="305"/>
      <c r="D1083" s="305"/>
      <c r="E1083" s="305"/>
      <c r="F1083" s="154"/>
      <c r="G1083" s="154"/>
      <c r="H1083" s="154"/>
      <c r="I1083" s="154"/>
      <c r="J1083" s="154"/>
      <c r="K1083" s="154"/>
      <c r="L1083" s="154"/>
      <c r="M1083" s="154"/>
      <c r="N1083" s="154"/>
      <c r="O1083" s="154"/>
      <c r="P1083" s="154"/>
      <c r="Q1083" s="154"/>
      <c r="R1083" s="154"/>
      <c r="S1083" s="154"/>
      <c r="T1083" s="154"/>
      <c r="U1083" s="154"/>
      <c r="V1083" s="154"/>
      <c r="W1083" s="154"/>
      <c r="X1083" s="154"/>
      <c r="Y1083" s="154"/>
      <c r="Z1083" s="154"/>
      <c r="AA1083" s="154"/>
      <c r="AB1083" s="154"/>
      <c r="AC1083" s="154"/>
      <c r="AD1083" s="154"/>
      <c r="AE1083" s="154"/>
      <c r="AF1083" s="154"/>
      <c r="AG1083" s="154"/>
      <c r="AH1083" s="154"/>
      <c r="AI1083" s="154"/>
      <c r="AJ1083" s="154"/>
      <c r="AK1083" s="154"/>
      <c r="AL1083" s="154"/>
      <c r="AM1083" s="154"/>
      <c r="AN1083" s="154"/>
      <c r="AO1083" s="154"/>
      <c r="AP1083" s="154"/>
      <c r="AQ1083" s="154"/>
      <c r="AR1083" s="154"/>
      <c r="AS1083" s="154"/>
      <c r="AT1083" s="154"/>
      <c r="AU1083" s="154"/>
      <c r="AV1083" s="154"/>
      <c r="AW1083" s="154"/>
      <c r="AX1083" s="154"/>
      <c r="AY1083" s="154"/>
      <c r="AZ1083" s="154"/>
      <c r="BA1083" s="154"/>
      <c r="BB1083" s="154"/>
      <c r="BC1083" s="154"/>
      <c r="BD1083" s="154"/>
      <c r="BE1083" s="154"/>
      <c r="BF1083" s="154"/>
      <c r="BG1083" s="154"/>
      <c r="BH1083" s="154"/>
      <c r="BI1083" s="154"/>
      <c r="BJ1083" s="154"/>
      <c r="BK1083" s="154"/>
      <c r="BL1083" s="154"/>
      <c r="BM1083" s="154"/>
    </row>
    <row r="1084">
      <c r="A1084" s="154"/>
      <c r="B1084" s="154"/>
      <c r="C1084" s="305"/>
      <c r="D1084" s="305"/>
      <c r="E1084" s="305"/>
      <c r="F1084" s="154"/>
      <c r="G1084" s="154"/>
      <c r="H1084" s="154"/>
      <c r="I1084" s="154"/>
      <c r="J1084" s="154"/>
      <c r="K1084" s="154"/>
      <c r="L1084" s="154"/>
      <c r="M1084" s="154"/>
      <c r="N1084" s="154"/>
      <c r="O1084" s="154"/>
      <c r="P1084" s="154"/>
      <c r="Q1084" s="154"/>
      <c r="R1084" s="154"/>
      <c r="S1084" s="154"/>
      <c r="T1084" s="154"/>
      <c r="U1084" s="154"/>
      <c r="V1084" s="154"/>
      <c r="W1084" s="154"/>
      <c r="X1084" s="154"/>
      <c r="Y1084" s="154"/>
      <c r="Z1084" s="154"/>
      <c r="AA1084" s="154"/>
      <c r="AB1084" s="154"/>
      <c r="AC1084" s="154"/>
      <c r="AD1084" s="154"/>
      <c r="AE1084" s="154"/>
      <c r="AF1084" s="154"/>
      <c r="AG1084" s="154"/>
      <c r="AH1084" s="154"/>
      <c r="AI1084" s="154"/>
      <c r="AJ1084" s="154"/>
      <c r="AK1084" s="154"/>
      <c r="AL1084" s="154"/>
      <c r="AM1084" s="154"/>
      <c r="AN1084" s="154"/>
      <c r="AO1084" s="154"/>
      <c r="AP1084" s="154"/>
      <c r="AQ1084" s="154"/>
      <c r="AR1084" s="154"/>
      <c r="AS1084" s="154"/>
      <c r="AT1084" s="154"/>
      <c r="AU1084" s="154"/>
      <c r="AV1084" s="154"/>
      <c r="AW1084" s="154"/>
      <c r="AX1084" s="154"/>
      <c r="AY1084" s="154"/>
      <c r="AZ1084" s="154"/>
      <c r="BA1084" s="154"/>
      <c r="BB1084" s="154"/>
      <c r="BC1084" s="154"/>
      <c r="BD1084" s="154"/>
      <c r="BE1084" s="154"/>
      <c r="BF1084" s="154"/>
      <c r="BG1084" s="154"/>
      <c r="BH1084" s="154"/>
      <c r="BI1084" s="154"/>
      <c r="BJ1084" s="154"/>
      <c r="BK1084" s="154"/>
      <c r="BL1084" s="154"/>
      <c r="BM1084" s="154"/>
    </row>
    <row r="1085">
      <c r="A1085" s="154"/>
      <c r="B1085" s="154"/>
      <c r="C1085" s="305"/>
      <c r="D1085" s="305"/>
      <c r="E1085" s="305"/>
      <c r="F1085" s="154"/>
      <c r="G1085" s="154"/>
      <c r="H1085" s="154"/>
      <c r="I1085" s="154"/>
      <c r="J1085" s="154"/>
      <c r="K1085" s="154"/>
      <c r="L1085" s="154"/>
      <c r="M1085" s="154"/>
      <c r="N1085" s="154"/>
      <c r="O1085" s="154"/>
      <c r="P1085" s="154"/>
      <c r="Q1085" s="154"/>
      <c r="R1085" s="154"/>
      <c r="S1085" s="154"/>
      <c r="T1085" s="154"/>
      <c r="U1085" s="154"/>
      <c r="V1085" s="154"/>
      <c r="W1085" s="154"/>
      <c r="X1085" s="154"/>
      <c r="Y1085" s="154"/>
      <c r="Z1085" s="154"/>
      <c r="AA1085" s="154"/>
      <c r="AB1085" s="154"/>
      <c r="AC1085" s="154"/>
      <c r="AD1085" s="154"/>
      <c r="AE1085" s="154"/>
      <c r="AF1085" s="154"/>
      <c r="AG1085" s="154"/>
      <c r="AH1085" s="154"/>
      <c r="AI1085" s="154"/>
      <c r="AJ1085" s="154"/>
      <c r="AK1085" s="154"/>
      <c r="AL1085" s="154"/>
      <c r="AM1085" s="154"/>
      <c r="AN1085" s="154"/>
      <c r="AO1085" s="154"/>
      <c r="AP1085" s="154"/>
      <c r="AQ1085" s="154"/>
      <c r="AR1085" s="154"/>
      <c r="AS1085" s="154"/>
      <c r="AT1085" s="154"/>
      <c r="AU1085" s="154"/>
      <c r="AV1085" s="154"/>
      <c r="AW1085" s="154"/>
      <c r="AX1085" s="154"/>
      <c r="AY1085" s="154"/>
      <c r="AZ1085" s="154"/>
      <c r="BA1085" s="154"/>
      <c r="BB1085" s="154"/>
      <c r="BC1085" s="154"/>
      <c r="BD1085" s="154"/>
      <c r="BE1085" s="154"/>
      <c r="BF1085" s="154"/>
      <c r="BG1085" s="154"/>
      <c r="BH1085" s="154"/>
      <c r="BI1085" s="154"/>
      <c r="BJ1085" s="154"/>
      <c r="BK1085" s="154"/>
      <c r="BL1085" s="154"/>
      <c r="BM1085" s="154"/>
    </row>
    <row r="1086">
      <c r="A1086" s="154"/>
      <c r="B1086" s="154"/>
      <c r="C1086" s="305"/>
      <c r="D1086" s="305"/>
      <c r="E1086" s="305"/>
      <c r="F1086" s="154"/>
      <c r="G1086" s="154"/>
      <c r="H1086" s="154"/>
      <c r="I1086" s="154"/>
      <c r="J1086" s="154"/>
      <c r="K1086" s="154"/>
      <c r="L1086" s="154"/>
      <c r="M1086" s="154"/>
      <c r="N1086" s="154"/>
      <c r="O1086" s="154"/>
      <c r="P1086" s="154"/>
      <c r="Q1086" s="154"/>
      <c r="R1086" s="154"/>
      <c r="S1086" s="154"/>
      <c r="T1086" s="154"/>
      <c r="U1086" s="154"/>
      <c r="V1086" s="154"/>
      <c r="W1086" s="154"/>
      <c r="X1086" s="154"/>
      <c r="Y1086" s="154"/>
      <c r="Z1086" s="154"/>
      <c r="AA1086" s="154"/>
      <c r="AB1086" s="154"/>
      <c r="AC1086" s="154"/>
      <c r="AD1086" s="154"/>
      <c r="AE1086" s="154"/>
      <c r="AF1086" s="154"/>
      <c r="AG1086" s="154"/>
      <c r="AH1086" s="154"/>
      <c r="AI1086" s="154"/>
      <c r="AJ1086" s="154"/>
      <c r="AK1086" s="154"/>
      <c r="AL1086" s="154"/>
      <c r="AM1086" s="154"/>
      <c r="AN1086" s="154"/>
      <c r="AO1086" s="154"/>
      <c r="AP1086" s="154"/>
      <c r="AQ1086" s="154"/>
      <c r="AR1086" s="154"/>
      <c r="AS1086" s="154"/>
      <c r="AT1086" s="154"/>
      <c r="AU1086" s="154"/>
      <c r="AV1086" s="154"/>
      <c r="AW1086" s="154"/>
      <c r="AX1086" s="154"/>
      <c r="AY1086" s="154"/>
      <c r="AZ1086" s="154"/>
      <c r="BA1086" s="154"/>
      <c r="BB1086" s="154"/>
      <c r="BC1086" s="154"/>
      <c r="BD1086" s="154"/>
      <c r="BE1086" s="154"/>
      <c r="BF1086" s="154"/>
      <c r="BG1086" s="154"/>
      <c r="BH1086" s="154"/>
      <c r="BI1086" s="154"/>
      <c r="BJ1086" s="154"/>
      <c r="BK1086" s="154"/>
      <c r="BL1086" s="154"/>
      <c r="BM1086" s="154"/>
    </row>
    <row r="1087">
      <c r="A1087" s="154"/>
      <c r="B1087" s="154"/>
      <c r="C1087" s="305"/>
      <c r="D1087" s="305"/>
      <c r="E1087" s="305"/>
      <c r="F1087" s="154"/>
      <c r="G1087" s="154"/>
      <c r="H1087" s="154"/>
      <c r="I1087" s="154"/>
      <c r="J1087" s="154"/>
      <c r="K1087" s="154"/>
      <c r="L1087" s="154"/>
      <c r="M1087" s="154"/>
      <c r="N1087" s="154"/>
      <c r="O1087" s="154"/>
      <c r="P1087" s="154"/>
      <c r="Q1087" s="154"/>
      <c r="R1087" s="154"/>
      <c r="S1087" s="154"/>
      <c r="T1087" s="154"/>
      <c r="U1087" s="154"/>
      <c r="V1087" s="154"/>
      <c r="W1087" s="154"/>
      <c r="X1087" s="154"/>
      <c r="Y1087" s="154"/>
      <c r="Z1087" s="154"/>
      <c r="AA1087" s="154"/>
      <c r="AB1087" s="154"/>
      <c r="AC1087" s="154"/>
      <c r="AD1087" s="154"/>
      <c r="AE1087" s="154"/>
      <c r="AF1087" s="154"/>
      <c r="AG1087" s="154"/>
      <c r="AH1087" s="154"/>
      <c r="AI1087" s="154"/>
      <c r="AJ1087" s="154"/>
      <c r="AK1087" s="154"/>
      <c r="AL1087" s="154"/>
      <c r="AM1087" s="154"/>
      <c r="AN1087" s="154"/>
      <c r="AO1087" s="154"/>
      <c r="AP1087" s="154"/>
      <c r="AQ1087" s="154"/>
      <c r="AR1087" s="154"/>
      <c r="AS1087" s="154"/>
      <c r="AT1087" s="154"/>
      <c r="AU1087" s="154"/>
      <c r="AV1087" s="154"/>
      <c r="AW1087" s="154"/>
      <c r="AX1087" s="154"/>
      <c r="AY1087" s="154"/>
      <c r="AZ1087" s="154"/>
      <c r="BA1087" s="154"/>
      <c r="BB1087" s="154"/>
      <c r="BC1087" s="154"/>
      <c r="BD1087" s="154"/>
      <c r="BE1087" s="154"/>
      <c r="BF1087" s="154"/>
      <c r="BG1087" s="154"/>
      <c r="BH1087" s="154"/>
      <c r="BI1087" s="154"/>
      <c r="BJ1087" s="154"/>
      <c r="BK1087" s="154"/>
      <c r="BL1087" s="154"/>
      <c r="BM1087" s="154"/>
    </row>
    <row r="1088">
      <c r="A1088" s="154"/>
      <c r="B1088" s="154"/>
      <c r="C1088" s="305"/>
      <c r="D1088" s="305"/>
      <c r="E1088" s="305"/>
      <c r="F1088" s="154"/>
      <c r="G1088" s="154"/>
      <c r="H1088" s="154"/>
      <c r="I1088" s="154"/>
      <c r="J1088" s="154"/>
      <c r="K1088" s="154"/>
      <c r="L1088" s="154"/>
      <c r="M1088" s="154"/>
      <c r="N1088" s="154"/>
      <c r="O1088" s="154"/>
      <c r="P1088" s="154"/>
      <c r="Q1088" s="154"/>
      <c r="R1088" s="154"/>
      <c r="S1088" s="154"/>
      <c r="T1088" s="154"/>
      <c r="U1088" s="154"/>
      <c r="V1088" s="154"/>
      <c r="W1088" s="154"/>
      <c r="X1088" s="154"/>
      <c r="Y1088" s="154"/>
      <c r="Z1088" s="154"/>
      <c r="AA1088" s="154"/>
      <c r="AB1088" s="154"/>
      <c r="AC1088" s="154"/>
      <c r="AD1088" s="154"/>
      <c r="AE1088" s="154"/>
      <c r="AF1088" s="154"/>
      <c r="AG1088" s="154"/>
      <c r="AH1088" s="154"/>
      <c r="AI1088" s="154"/>
      <c r="AJ1088" s="154"/>
      <c r="AK1088" s="154"/>
      <c r="AL1088" s="154"/>
      <c r="AM1088" s="154"/>
      <c r="AN1088" s="154"/>
      <c r="AO1088" s="154"/>
      <c r="AP1088" s="154"/>
      <c r="AQ1088" s="154"/>
      <c r="AR1088" s="154"/>
      <c r="AS1088" s="154"/>
      <c r="AT1088" s="154"/>
      <c r="AU1088" s="154"/>
      <c r="AV1088" s="154"/>
      <c r="AW1088" s="154"/>
      <c r="AX1088" s="154"/>
      <c r="AY1088" s="154"/>
      <c r="AZ1088" s="154"/>
      <c r="BA1088" s="154"/>
      <c r="BB1088" s="154"/>
      <c r="BC1088" s="154"/>
      <c r="BD1088" s="154"/>
      <c r="BE1088" s="154"/>
      <c r="BF1088" s="154"/>
      <c r="BG1088" s="154"/>
      <c r="BH1088" s="154"/>
      <c r="BI1088" s="154"/>
      <c r="BJ1088" s="154"/>
      <c r="BK1088" s="154"/>
      <c r="BL1088" s="154"/>
      <c r="BM1088" s="154"/>
    </row>
    <row r="1089">
      <c r="A1089" s="154"/>
      <c r="B1089" s="154"/>
      <c r="C1089" s="305"/>
      <c r="D1089" s="305"/>
      <c r="E1089" s="305"/>
      <c r="F1089" s="154"/>
      <c r="G1089" s="154"/>
      <c r="H1089" s="154"/>
      <c r="I1089" s="154"/>
      <c r="J1089" s="154"/>
      <c r="K1089" s="154"/>
      <c r="L1089" s="154"/>
      <c r="M1089" s="154"/>
      <c r="N1089" s="154"/>
      <c r="O1089" s="154"/>
      <c r="P1089" s="154"/>
      <c r="Q1089" s="154"/>
      <c r="R1089" s="154"/>
      <c r="S1089" s="154"/>
      <c r="T1089" s="154"/>
      <c r="U1089" s="154"/>
      <c r="V1089" s="154"/>
      <c r="W1089" s="154"/>
      <c r="X1089" s="154"/>
      <c r="Y1089" s="154"/>
      <c r="Z1089" s="154"/>
      <c r="AA1089" s="154"/>
      <c r="AB1089" s="154"/>
      <c r="AC1089" s="154"/>
      <c r="AD1089" s="154"/>
      <c r="AE1089" s="154"/>
      <c r="AF1089" s="154"/>
      <c r="AG1089" s="154"/>
      <c r="AH1089" s="154"/>
      <c r="AI1089" s="154"/>
      <c r="AJ1089" s="154"/>
      <c r="AK1089" s="154"/>
      <c r="AL1089" s="154"/>
      <c r="AM1089" s="154"/>
      <c r="AN1089" s="154"/>
      <c r="AO1089" s="154"/>
      <c r="AP1089" s="154"/>
      <c r="AQ1089" s="154"/>
      <c r="AR1089" s="154"/>
      <c r="AS1089" s="154"/>
      <c r="AT1089" s="154"/>
      <c r="AU1089" s="154"/>
      <c r="AV1089" s="154"/>
      <c r="AW1089" s="154"/>
      <c r="AX1089" s="154"/>
      <c r="AY1089" s="154"/>
      <c r="AZ1089" s="154"/>
      <c r="BA1089" s="154"/>
      <c r="BB1089" s="154"/>
      <c r="BC1089" s="154"/>
      <c r="BD1089" s="154"/>
      <c r="BE1089" s="154"/>
      <c r="BF1089" s="154"/>
      <c r="BG1089" s="154"/>
      <c r="BH1089" s="154"/>
      <c r="BI1089" s="154"/>
      <c r="BJ1089" s="154"/>
      <c r="BK1089" s="154"/>
      <c r="BL1089" s="154"/>
      <c r="BM1089" s="154"/>
    </row>
    <row r="1090">
      <c r="A1090" s="154"/>
      <c r="B1090" s="154"/>
      <c r="C1090" s="305"/>
      <c r="D1090" s="305"/>
      <c r="E1090" s="305"/>
      <c r="F1090" s="154"/>
      <c r="G1090" s="154"/>
      <c r="H1090" s="154"/>
      <c r="I1090" s="154"/>
      <c r="J1090" s="154"/>
      <c r="K1090" s="154"/>
      <c r="L1090" s="154"/>
      <c r="M1090" s="154"/>
      <c r="N1090" s="154"/>
      <c r="O1090" s="154"/>
      <c r="P1090" s="154"/>
      <c r="Q1090" s="154"/>
      <c r="R1090" s="154"/>
      <c r="S1090" s="154"/>
      <c r="T1090" s="154"/>
      <c r="U1090" s="154"/>
      <c r="V1090" s="154"/>
      <c r="W1090" s="154"/>
      <c r="X1090" s="154"/>
      <c r="Y1090" s="154"/>
      <c r="Z1090" s="154"/>
      <c r="AA1090" s="154"/>
      <c r="AB1090" s="154"/>
      <c r="AC1090" s="154"/>
      <c r="AD1090" s="154"/>
      <c r="AE1090" s="154"/>
      <c r="AF1090" s="154"/>
      <c r="AG1090" s="154"/>
      <c r="AH1090" s="154"/>
      <c r="AI1090" s="154"/>
      <c r="AJ1090" s="154"/>
      <c r="AK1090" s="154"/>
      <c r="AL1090" s="154"/>
      <c r="AM1090" s="154"/>
      <c r="AN1090" s="154"/>
      <c r="AO1090" s="154"/>
      <c r="AP1090" s="154"/>
      <c r="AQ1090" s="154"/>
      <c r="AR1090" s="154"/>
      <c r="AS1090" s="154"/>
      <c r="AT1090" s="154"/>
      <c r="AU1090" s="154"/>
      <c r="AV1090" s="154"/>
      <c r="AW1090" s="154"/>
      <c r="AX1090" s="154"/>
      <c r="AY1090" s="154"/>
      <c r="AZ1090" s="154"/>
      <c r="BA1090" s="154"/>
      <c r="BB1090" s="154"/>
      <c r="BC1090" s="154"/>
      <c r="BD1090" s="154"/>
      <c r="BE1090" s="154"/>
      <c r="BF1090" s="154"/>
      <c r="BG1090" s="154"/>
      <c r="BH1090" s="154"/>
      <c r="BI1090" s="154"/>
      <c r="BJ1090" s="154"/>
      <c r="BK1090" s="154"/>
      <c r="BL1090" s="154"/>
      <c r="BM1090" s="154"/>
    </row>
    <row r="1091">
      <c r="A1091" s="154"/>
      <c r="B1091" s="154"/>
      <c r="C1091" s="305"/>
      <c r="D1091" s="305"/>
      <c r="E1091" s="305"/>
      <c r="F1091" s="154"/>
      <c r="G1091" s="154"/>
      <c r="H1091" s="154"/>
      <c r="I1091" s="154"/>
      <c r="J1091" s="154"/>
      <c r="K1091" s="154"/>
      <c r="L1091" s="154"/>
      <c r="M1091" s="154"/>
      <c r="N1091" s="154"/>
      <c r="O1091" s="154"/>
      <c r="P1091" s="154"/>
      <c r="Q1091" s="154"/>
      <c r="R1091" s="154"/>
      <c r="S1091" s="154"/>
      <c r="T1091" s="154"/>
      <c r="U1091" s="154"/>
      <c r="V1091" s="154"/>
      <c r="W1091" s="154"/>
      <c r="X1091" s="154"/>
      <c r="Y1091" s="154"/>
      <c r="Z1091" s="154"/>
      <c r="AA1091" s="154"/>
      <c r="AB1091" s="154"/>
      <c r="AC1091" s="154"/>
      <c r="AD1091" s="154"/>
      <c r="AE1091" s="154"/>
      <c r="AF1091" s="154"/>
      <c r="AG1091" s="154"/>
      <c r="AH1091" s="154"/>
      <c r="AI1091" s="154"/>
      <c r="AJ1091" s="154"/>
      <c r="AK1091" s="154"/>
      <c r="AL1091" s="154"/>
      <c r="AM1091" s="154"/>
      <c r="AN1091" s="154"/>
      <c r="AO1091" s="154"/>
      <c r="AP1091" s="154"/>
      <c r="AQ1091" s="154"/>
      <c r="AR1091" s="154"/>
      <c r="AS1091" s="154"/>
      <c r="AT1091" s="154"/>
      <c r="AU1091" s="154"/>
      <c r="AV1091" s="154"/>
      <c r="AW1091" s="154"/>
      <c r="AX1091" s="154"/>
      <c r="AY1091" s="154"/>
      <c r="AZ1091" s="154"/>
      <c r="BA1091" s="154"/>
      <c r="BB1091" s="154"/>
      <c r="BC1091" s="154"/>
      <c r="BD1091" s="154"/>
      <c r="BE1091" s="154"/>
      <c r="BF1091" s="154"/>
      <c r="BG1091" s="154"/>
      <c r="BH1091" s="154"/>
      <c r="BI1091" s="154"/>
      <c r="BJ1091" s="154"/>
      <c r="BK1091" s="154"/>
      <c r="BL1091" s="154"/>
      <c r="BM1091" s="154"/>
    </row>
    <row r="1092">
      <c r="A1092" s="154"/>
      <c r="B1092" s="154"/>
      <c r="C1092" s="305"/>
      <c r="D1092" s="305"/>
      <c r="E1092" s="305"/>
      <c r="F1092" s="154"/>
      <c r="G1092" s="154"/>
      <c r="H1092" s="154"/>
      <c r="I1092" s="154"/>
      <c r="J1092" s="154"/>
      <c r="K1092" s="154"/>
      <c r="L1092" s="154"/>
      <c r="M1092" s="154"/>
      <c r="N1092" s="154"/>
      <c r="O1092" s="154"/>
      <c r="P1092" s="154"/>
      <c r="Q1092" s="154"/>
      <c r="R1092" s="154"/>
      <c r="S1092" s="154"/>
      <c r="T1092" s="154"/>
      <c r="U1092" s="154"/>
      <c r="V1092" s="154"/>
      <c r="W1092" s="154"/>
      <c r="X1092" s="154"/>
      <c r="Y1092" s="154"/>
      <c r="Z1092" s="154"/>
      <c r="AA1092" s="154"/>
      <c r="AB1092" s="154"/>
      <c r="AC1092" s="154"/>
      <c r="AD1092" s="154"/>
      <c r="AE1092" s="154"/>
      <c r="AF1092" s="154"/>
      <c r="AG1092" s="154"/>
      <c r="AH1092" s="154"/>
      <c r="AI1092" s="154"/>
      <c r="AJ1092" s="154"/>
      <c r="AK1092" s="154"/>
      <c r="AL1092" s="154"/>
      <c r="AM1092" s="154"/>
      <c r="AN1092" s="154"/>
      <c r="AO1092" s="154"/>
      <c r="AP1092" s="154"/>
      <c r="AQ1092" s="154"/>
      <c r="AR1092" s="154"/>
      <c r="AS1092" s="154"/>
      <c r="AT1092" s="154"/>
      <c r="AU1092" s="154"/>
      <c r="AV1092" s="154"/>
      <c r="AW1092" s="154"/>
      <c r="AX1092" s="154"/>
      <c r="AY1092" s="154"/>
      <c r="AZ1092" s="154"/>
      <c r="BA1092" s="154"/>
      <c r="BB1092" s="154"/>
      <c r="BC1092" s="154"/>
      <c r="BD1092" s="154"/>
      <c r="BE1092" s="154"/>
      <c r="BF1092" s="154"/>
      <c r="BG1092" s="154"/>
      <c r="BH1092" s="154"/>
      <c r="BI1092" s="154"/>
      <c r="BJ1092" s="154"/>
      <c r="BK1092" s="154"/>
      <c r="BL1092" s="154"/>
      <c r="BM1092" s="154"/>
    </row>
    <row r="1093">
      <c r="A1093" s="154"/>
      <c r="B1093" s="154"/>
      <c r="C1093" s="305"/>
      <c r="D1093" s="305"/>
      <c r="E1093" s="305"/>
      <c r="F1093" s="154"/>
      <c r="G1093" s="154"/>
      <c r="H1093" s="154"/>
      <c r="I1093" s="154"/>
      <c r="J1093" s="154"/>
      <c r="K1093" s="154"/>
      <c r="L1093" s="154"/>
      <c r="M1093" s="154"/>
      <c r="N1093" s="154"/>
      <c r="O1093" s="154"/>
      <c r="P1093" s="154"/>
      <c r="Q1093" s="154"/>
      <c r="R1093" s="154"/>
      <c r="S1093" s="154"/>
      <c r="T1093" s="154"/>
      <c r="U1093" s="154"/>
      <c r="V1093" s="154"/>
      <c r="W1093" s="154"/>
      <c r="X1093" s="154"/>
      <c r="Y1093" s="154"/>
      <c r="Z1093" s="154"/>
      <c r="AA1093" s="154"/>
      <c r="AB1093" s="154"/>
      <c r="AC1093" s="154"/>
      <c r="AD1093" s="154"/>
      <c r="AE1093" s="154"/>
      <c r="AF1093" s="154"/>
      <c r="AG1093" s="154"/>
      <c r="AH1093" s="154"/>
      <c r="AI1093" s="154"/>
      <c r="AJ1093" s="154"/>
      <c r="AK1093" s="154"/>
      <c r="AL1093" s="154"/>
      <c r="AM1093" s="154"/>
      <c r="AN1093" s="154"/>
      <c r="AO1093" s="154"/>
      <c r="AP1093" s="154"/>
      <c r="AQ1093" s="154"/>
      <c r="AR1093" s="154"/>
      <c r="AS1093" s="154"/>
      <c r="AT1093" s="154"/>
      <c r="AU1093" s="154"/>
      <c r="AV1093" s="154"/>
      <c r="AW1093" s="154"/>
      <c r="AX1093" s="154"/>
      <c r="AY1093" s="154"/>
      <c r="AZ1093" s="154"/>
      <c r="BA1093" s="154"/>
      <c r="BB1093" s="154"/>
      <c r="BC1093" s="154"/>
      <c r="BD1093" s="154"/>
      <c r="BE1093" s="154"/>
      <c r="BF1093" s="154"/>
      <c r="BG1093" s="154"/>
      <c r="BH1093" s="154"/>
      <c r="BI1093" s="154"/>
      <c r="BJ1093" s="154"/>
      <c r="BK1093" s="154"/>
      <c r="BL1093" s="154"/>
      <c r="BM1093" s="154"/>
    </row>
    <row r="1094">
      <c r="A1094" s="154"/>
      <c r="B1094" s="154"/>
      <c r="C1094" s="305"/>
      <c r="D1094" s="305"/>
      <c r="E1094" s="305"/>
      <c r="F1094" s="154"/>
      <c r="G1094" s="154"/>
      <c r="H1094" s="154"/>
      <c r="I1094" s="154"/>
      <c r="J1094" s="154"/>
      <c r="K1094" s="154"/>
      <c r="L1094" s="154"/>
      <c r="M1094" s="154"/>
      <c r="N1094" s="154"/>
      <c r="O1094" s="154"/>
      <c r="P1094" s="154"/>
      <c r="Q1094" s="154"/>
      <c r="R1094" s="154"/>
      <c r="S1094" s="154"/>
      <c r="T1094" s="154"/>
      <c r="U1094" s="154"/>
      <c r="V1094" s="154"/>
      <c r="W1094" s="154"/>
      <c r="X1094" s="154"/>
      <c r="Y1094" s="154"/>
      <c r="Z1094" s="154"/>
      <c r="AA1094" s="154"/>
      <c r="AB1094" s="154"/>
      <c r="AC1094" s="154"/>
      <c r="AD1094" s="154"/>
      <c r="AE1094" s="154"/>
      <c r="AF1094" s="154"/>
      <c r="AG1094" s="154"/>
      <c r="AH1094" s="154"/>
      <c r="AI1094" s="154"/>
      <c r="AJ1094" s="154"/>
      <c r="AK1094" s="154"/>
      <c r="AL1094" s="154"/>
      <c r="AM1094" s="154"/>
      <c r="AN1094" s="154"/>
      <c r="AO1094" s="154"/>
      <c r="AP1094" s="154"/>
      <c r="AQ1094" s="154"/>
      <c r="AR1094" s="154"/>
      <c r="AS1094" s="154"/>
      <c r="AT1094" s="154"/>
      <c r="AU1094" s="154"/>
      <c r="AV1094" s="154"/>
      <c r="AW1094" s="154"/>
      <c r="AX1094" s="154"/>
      <c r="AY1094" s="154"/>
      <c r="AZ1094" s="154"/>
      <c r="BA1094" s="154"/>
      <c r="BB1094" s="154"/>
      <c r="BC1094" s="154"/>
      <c r="BD1094" s="154"/>
      <c r="BE1094" s="154"/>
      <c r="BF1094" s="154"/>
      <c r="BG1094" s="154"/>
      <c r="BH1094" s="154"/>
      <c r="BI1094" s="154"/>
      <c r="BJ1094" s="154"/>
      <c r="BK1094" s="154"/>
      <c r="BL1094" s="154"/>
      <c r="BM1094" s="154"/>
    </row>
    <row r="1095">
      <c r="A1095" s="154"/>
      <c r="B1095" s="154"/>
      <c r="C1095" s="305"/>
      <c r="D1095" s="305"/>
      <c r="E1095" s="305"/>
      <c r="F1095" s="154"/>
      <c r="G1095" s="154"/>
      <c r="H1095" s="154"/>
      <c r="I1095" s="154"/>
      <c r="J1095" s="154"/>
      <c r="K1095" s="154"/>
      <c r="L1095" s="154"/>
      <c r="M1095" s="154"/>
      <c r="N1095" s="154"/>
      <c r="O1095" s="154"/>
      <c r="P1095" s="154"/>
      <c r="Q1095" s="154"/>
      <c r="R1095" s="154"/>
      <c r="S1095" s="154"/>
      <c r="T1095" s="154"/>
      <c r="U1095" s="154"/>
      <c r="V1095" s="154"/>
      <c r="W1095" s="154"/>
      <c r="X1095" s="154"/>
      <c r="Y1095" s="154"/>
      <c r="Z1095" s="154"/>
      <c r="AA1095" s="154"/>
      <c r="AB1095" s="154"/>
      <c r="AC1095" s="154"/>
      <c r="AD1095" s="154"/>
      <c r="AE1095" s="154"/>
      <c r="AF1095" s="154"/>
      <c r="AG1095" s="154"/>
      <c r="AH1095" s="154"/>
      <c r="AI1095" s="154"/>
      <c r="AJ1095" s="154"/>
      <c r="AK1095" s="154"/>
      <c r="AL1095" s="154"/>
      <c r="AM1095" s="154"/>
      <c r="AN1095" s="154"/>
      <c r="AO1095" s="154"/>
      <c r="AP1095" s="154"/>
      <c r="AQ1095" s="154"/>
      <c r="AR1095" s="154"/>
      <c r="AS1095" s="154"/>
      <c r="AT1095" s="154"/>
      <c r="AU1095" s="154"/>
      <c r="AV1095" s="154"/>
      <c r="AW1095" s="154"/>
      <c r="AX1095" s="154"/>
      <c r="AY1095" s="154"/>
      <c r="AZ1095" s="154"/>
      <c r="BA1095" s="154"/>
      <c r="BB1095" s="154"/>
      <c r="BC1095" s="154"/>
      <c r="BD1095" s="154"/>
      <c r="BE1095" s="154"/>
      <c r="BF1095" s="154"/>
      <c r="BG1095" s="154"/>
      <c r="BH1095" s="154"/>
      <c r="BI1095" s="154"/>
      <c r="BJ1095" s="154"/>
      <c r="BK1095" s="154"/>
      <c r="BL1095" s="154"/>
      <c r="BM1095" s="154"/>
    </row>
    <row r="1096">
      <c r="A1096" s="154"/>
      <c r="B1096" s="154"/>
      <c r="C1096" s="305"/>
      <c r="D1096" s="305"/>
      <c r="E1096" s="305"/>
      <c r="F1096" s="154"/>
      <c r="G1096" s="154"/>
      <c r="H1096" s="154"/>
      <c r="I1096" s="154"/>
      <c r="J1096" s="154"/>
      <c r="K1096" s="154"/>
      <c r="L1096" s="154"/>
      <c r="M1096" s="154"/>
      <c r="N1096" s="154"/>
      <c r="O1096" s="154"/>
      <c r="P1096" s="154"/>
      <c r="Q1096" s="154"/>
      <c r="R1096" s="154"/>
      <c r="S1096" s="154"/>
      <c r="T1096" s="154"/>
      <c r="U1096" s="154"/>
      <c r="V1096" s="154"/>
      <c r="W1096" s="154"/>
      <c r="X1096" s="154"/>
      <c r="Y1096" s="154"/>
      <c r="Z1096" s="154"/>
      <c r="AA1096" s="154"/>
      <c r="AB1096" s="154"/>
      <c r="AC1096" s="154"/>
      <c r="AD1096" s="154"/>
      <c r="AE1096" s="154"/>
      <c r="AF1096" s="154"/>
      <c r="AG1096" s="154"/>
      <c r="AH1096" s="154"/>
      <c r="AI1096" s="154"/>
      <c r="AJ1096" s="154"/>
      <c r="AK1096" s="154"/>
      <c r="AL1096" s="154"/>
      <c r="AM1096" s="154"/>
      <c r="AN1096" s="154"/>
      <c r="AO1096" s="154"/>
      <c r="AP1096" s="154"/>
      <c r="AQ1096" s="154"/>
      <c r="AR1096" s="154"/>
      <c r="AS1096" s="154"/>
      <c r="AT1096" s="154"/>
      <c r="AU1096" s="154"/>
      <c r="AV1096" s="154"/>
      <c r="AW1096" s="154"/>
      <c r="AX1096" s="154"/>
      <c r="AY1096" s="154"/>
      <c r="AZ1096" s="154"/>
      <c r="BA1096" s="154"/>
      <c r="BB1096" s="154"/>
      <c r="BC1096" s="154"/>
      <c r="BD1096" s="154"/>
      <c r="BE1096" s="154"/>
      <c r="BF1096" s="154"/>
      <c r="BG1096" s="154"/>
      <c r="BH1096" s="154"/>
      <c r="BI1096" s="154"/>
      <c r="BJ1096" s="154"/>
      <c r="BK1096" s="154"/>
      <c r="BL1096" s="154"/>
      <c r="BM1096" s="154"/>
    </row>
    <row r="1097">
      <c r="A1097" s="154"/>
      <c r="B1097" s="154"/>
      <c r="C1097" s="305"/>
      <c r="D1097" s="305"/>
      <c r="E1097" s="305"/>
      <c r="F1097" s="154"/>
      <c r="G1097" s="154"/>
      <c r="H1097" s="154"/>
      <c r="I1097" s="154"/>
      <c r="J1097" s="154"/>
      <c r="K1097" s="154"/>
      <c r="L1097" s="154"/>
      <c r="M1097" s="154"/>
      <c r="N1097" s="154"/>
      <c r="O1097" s="154"/>
      <c r="P1097" s="154"/>
      <c r="Q1097" s="154"/>
      <c r="R1097" s="154"/>
      <c r="S1097" s="154"/>
      <c r="T1097" s="154"/>
      <c r="U1097" s="154"/>
      <c r="V1097" s="154"/>
      <c r="W1097" s="154"/>
      <c r="X1097" s="154"/>
      <c r="Y1097" s="154"/>
      <c r="Z1097" s="154"/>
      <c r="AA1097" s="154"/>
      <c r="AB1097" s="154"/>
      <c r="AC1097" s="154"/>
      <c r="AD1097" s="154"/>
      <c r="AE1097" s="154"/>
      <c r="AF1097" s="154"/>
      <c r="AG1097" s="154"/>
      <c r="AH1097" s="154"/>
      <c r="AI1097" s="154"/>
      <c r="AJ1097" s="154"/>
      <c r="AK1097" s="154"/>
      <c r="AL1097" s="154"/>
      <c r="AM1097" s="154"/>
      <c r="AN1097" s="154"/>
      <c r="AO1097" s="154"/>
      <c r="AP1097" s="154"/>
      <c r="AQ1097" s="154"/>
      <c r="AR1097" s="154"/>
      <c r="AS1097" s="154"/>
      <c r="AT1097" s="154"/>
      <c r="AU1097" s="154"/>
      <c r="AV1097" s="154"/>
      <c r="AW1097" s="154"/>
      <c r="AX1097" s="154"/>
      <c r="AY1097" s="154"/>
      <c r="AZ1097" s="154"/>
      <c r="BA1097" s="154"/>
      <c r="BB1097" s="154"/>
      <c r="BC1097" s="154"/>
      <c r="BD1097" s="154"/>
      <c r="BE1097" s="154"/>
      <c r="BF1097" s="154"/>
      <c r="BG1097" s="154"/>
      <c r="BH1097" s="154"/>
      <c r="BI1097" s="154"/>
      <c r="BJ1097" s="154"/>
      <c r="BK1097" s="154"/>
      <c r="BL1097" s="154"/>
      <c r="BM1097" s="154"/>
    </row>
    <row r="1098">
      <c r="A1098" s="154"/>
      <c r="B1098" s="154"/>
      <c r="C1098" s="305"/>
      <c r="D1098" s="305"/>
      <c r="E1098" s="305"/>
      <c r="F1098" s="154"/>
      <c r="G1098" s="154"/>
      <c r="H1098" s="154"/>
      <c r="I1098" s="154"/>
      <c r="J1098" s="154"/>
      <c r="K1098" s="154"/>
      <c r="L1098" s="154"/>
      <c r="M1098" s="154"/>
      <c r="N1098" s="154"/>
      <c r="O1098" s="154"/>
      <c r="P1098" s="154"/>
      <c r="Q1098" s="154"/>
      <c r="R1098" s="154"/>
      <c r="S1098" s="154"/>
      <c r="T1098" s="154"/>
      <c r="U1098" s="154"/>
      <c r="V1098" s="154"/>
      <c r="W1098" s="154"/>
      <c r="X1098" s="154"/>
      <c r="Y1098" s="154"/>
      <c r="Z1098" s="154"/>
      <c r="AA1098" s="154"/>
      <c r="AB1098" s="154"/>
      <c r="AC1098" s="154"/>
      <c r="AD1098" s="154"/>
      <c r="AE1098" s="154"/>
      <c r="AF1098" s="154"/>
      <c r="AG1098" s="154"/>
      <c r="AH1098" s="154"/>
      <c r="AI1098" s="154"/>
      <c r="AJ1098" s="154"/>
      <c r="AK1098" s="154"/>
      <c r="AL1098" s="154"/>
      <c r="AM1098" s="154"/>
      <c r="AN1098" s="154"/>
      <c r="AO1098" s="154"/>
      <c r="AP1098" s="154"/>
      <c r="AQ1098" s="154"/>
      <c r="AR1098" s="154"/>
      <c r="AS1098" s="154"/>
      <c r="AT1098" s="154"/>
      <c r="AU1098" s="154"/>
      <c r="AV1098" s="154"/>
      <c r="AW1098" s="154"/>
      <c r="AX1098" s="154"/>
      <c r="AY1098" s="154"/>
      <c r="AZ1098" s="154"/>
      <c r="BA1098" s="154"/>
      <c r="BB1098" s="154"/>
      <c r="BC1098" s="154"/>
      <c r="BD1098" s="154"/>
      <c r="BE1098" s="154"/>
      <c r="BF1098" s="154"/>
      <c r="BG1098" s="154"/>
      <c r="BH1098" s="154"/>
      <c r="BI1098" s="154"/>
      <c r="BJ1098" s="154"/>
      <c r="BK1098" s="154"/>
      <c r="BL1098" s="154"/>
      <c r="BM1098" s="154"/>
    </row>
    <row r="1099">
      <c r="A1099" s="154"/>
      <c r="B1099" s="154"/>
      <c r="C1099" s="305"/>
      <c r="D1099" s="305"/>
      <c r="E1099" s="305"/>
      <c r="F1099" s="154"/>
      <c r="G1099" s="154"/>
      <c r="H1099" s="154"/>
      <c r="I1099" s="154"/>
      <c r="J1099" s="154"/>
      <c r="K1099" s="154"/>
      <c r="L1099" s="154"/>
      <c r="M1099" s="154"/>
      <c r="N1099" s="154"/>
      <c r="O1099" s="154"/>
      <c r="P1099" s="154"/>
      <c r="Q1099" s="154"/>
      <c r="R1099" s="154"/>
      <c r="S1099" s="154"/>
      <c r="T1099" s="154"/>
      <c r="U1099" s="154"/>
      <c r="V1099" s="154"/>
      <c r="W1099" s="154"/>
      <c r="X1099" s="154"/>
      <c r="Y1099" s="154"/>
      <c r="Z1099" s="154"/>
      <c r="AA1099" s="154"/>
      <c r="AB1099" s="154"/>
      <c r="AC1099" s="154"/>
      <c r="AD1099" s="154"/>
      <c r="AE1099" s="154"/>
      <c r="AF1099" s="154"/>
      <c r="AG1099" s="154"/>
      <c r="AH1099" s="154"/>
      <c r="AI1099" s="154"/>
      <c r="AJ1099" s="154"/>
      <c r="AK1099" s="154"/>
      <c r="AL1099" s="154"/>
      <c r="AM1099" s="154"/>
      <c r="AN1099" s="154"/>
      <c r="AO1099" s="154"/>
      <c r="AP1099" s="154"/>
      <c r="AQ1099" s="154"/>
      <c r="AR1099" s="154"/>
      <c r="AS1099" s="154"/>
      <c r="AT1099" s="154"/>
      <c r="AU1099" s="154"/>
      <c r="AV1099" s="154"/>
      <c r="AW1099" s="154"/>
      <c r="AX1099" s="154"/>
      <c r="AY1099" s="154"/>
      <c r="AZ1099" s="154"/>
      <c r="BA1099" s="154"/>
      <c r="BB1099" s="154"/>
      <c r="BC1099" s="154"/>
      <c r="BD1099" s="154"/>
      <c r="BE1099" s="154"/>
      <c r="BF1099" s="154"/>
      <c r="BG1099" s="154"/>
      <c r="BH1099" s="154"/>
      <c r="BI1099" s="154"/>
      <c r="BJ1099" s="154"/>
      <c r="BK1099" s="154"/>
      <c r="BL1099" s="154"/>
      <c r="BM1099" s="154"/>
    </row>
    <row r="1100">
      <c r="A1100" s="154"/>
      <c r="B1100" s="154"/>
      <c r="C1100" s="305"/>
      <c r="D1100" s="305"/>
      <c r="E1100" s="305"/>
      <c r="F1100" s="154"/>
      <c r="G1100" s="154"/>
      <c r="H1100" s="154"/>
      <c r="I1100" s="154"/>
      <c r="J1100" s="154"/>
      <c r="K1100" s="154"/>
      <c r="L1100" s="154"/>
      <c r="M1100" s="154"/>
      <c r="N1100" s="154"/>
      <c r="O1100" s="154"/>
      <c r="P1100" s="154"/>
      <c r="Q1100" s="154"/>
      <c r="R1100" s="154"/>
      <c r="S1100" s="154"/>
      <c r="T1100" s="154"/>
      <c r="U1100" s="154"/>
      <c r="V1100" s="154"/>
      <c r="W1100" s="154"/>
      <c r="X1100" s="154"/>
      <c r="Y1100" s="154"/>
      <c r="Z1100" s="154"/>
      <c r="AA1100" s="154"/>
      <c r="AB1100" s="154"/>
      <c r="AC1100" s="154"/>
      <c r="AD1100" s="154"/>
      <c r="AE1100" s="154"/>
      <c r="AF1100" s="154"/>
      <c r="AG1100" s="154"/>
      <c r="AH1100" s="154"/>
      <c r="AI1100" s="154"/>
      <c r="AJ1100" s="154"/>
      <c r="AK1100" s="154"/>
      <c r="AL1100" s="154"/>
      <c r="AM1100" s="154"/>
      <c r="AN1100" s="154"/>
      <c r="AO1100" s="154"/>
      <c r="AP1100" s="154"/>
      <c r="AQ1100" s="154"/>
      <c r="AR1100" s="154"/>
      <c r="AS1100" s="154"/>
      <c r="AT1100" s="154"/>
      <c r="AU1100" s="154"/>
      <c r="AV1100" s="154"/>
      <c r="AW1100" s="154"/>
      <c r="AX1100" s="154"/>
      <c r="AY1100" s="154"/>
      <c r="AZ1100" s="154"/>
      <c r="BA1100" s="154"/>
      <c r="BB1100" s="154"/>
      <c r="BC1100" s="154"/>
      <c r="BD1100" s="154"/>
      <c r="BE1100" s="154"/>
      <c r="BF1100" s="154"/>
      <c r="BG1100" s="154"/>
      <c r="BH1100" s="154"/>
      <c r="BI1100" s="154"/>
      <c r="BJ1100" s="154"/>
      <c r="BK1100" s="154"/>
      <c r="BL1100" s="154"/>
      <c r="BM1100" s="154"/>
    </row>
    <row r="1101">
      <c r="A1101" s="154"/>
      <c r="B1101" s="154"/>
      <c r="C1101" s="305"/>
      <c r="D1101" s="305"/>
      <c r="E1101" s="305"/>
      <c r="F1101" s="154"/>
      <c r="G1101" s="154"/>
      <c r="H1101" s="154"/>
      <c r="I1101" s="154"/>
      <c r="J1101" s="154"/>
      <c r="K1101" s="154"/>
      <c r="L1101" s="154"/>
      <c r="M1101" s="154"/>
      <c r="N1101" s="154"/>
      <c r="O1101" s="154"/>
      <c r="P1101" s="154"/>
      <c r="Q1101" s="154"/>
      <c r="R1101" s="154"/>
      <c r="S1101" s="154"/>
      <c r="T1101" s="154"/>
      <c r="U1101" s="154"/>
      <c r="V1101" s="154"/>
      <c r="W1101" s="154"/>
      <c r="X1101" s="154"/>
      <c r="Y1101" s="154"/>
      <c r="Z1101" s="154"/>
      <c r="AA1101" s="154"/>
      <c r="AB1101" s="154"/>
      <c r="AC1101" s="154"/>
      <c r="AD1101" s="154"/>
      <c r="AE1101" s="154"/>
      <c r="AF1101" s="154"/>
      <c r="AG1101" s="154"/>
      <c r="AH1101" s="154"/>
      <c r="AI1101" s="154"/>
      <c r="AJ1101" s="154"/>
      <c r="AK1101" s="154"/>
      <c r="AL1101" s="154"/>
      <c r="AM1101" s="154"/>
      <c r="AN1101" s="154"/>
      <c r="AO1101" s="154"/>
      <c r="AP1101" s="154"/>
      <c r="AQ1101" s="154"/>
      <c r="AR1101" s="154"/>
      <c r="AS1101" s="154"/>
      <c r="AT1101" s="154"/>
      <c r="AU1101" s="154"/>
      <c r="AV1101" s="154"/>
      <c r="AW1101" s="154"/>
      <c r="AX1101" s="154"/>
      <c r="AY1101" s="154"/>
      <c r="AZ1101" s="154"/>
      <c r="BA1101" s="154"/>
      <c r="BB1101" s="154"/>
      <c r="BC1101" s="154"/>
      <c r="BD1101" s="154"/>
      <c r="BE1101" s="154"/>
      <c r="BF1101" s="154"/>
      <c r="BG1101" s="154"/>
      <c r="BH1101" s="154"/>
      <c r="BI1101" s="154"/>
      <c r="BJ1101" s="154"/>
      <c r="BK1101" s="154"/>
      <c r="BL1101" s="154"/>
      <c r="BM1101" s="154"/>
    </row>
  </sheetData>
  <mergeCells count="343">
    <mergeCell ref="F15:N15"/>
    <mergeCell ref="F16:N16"/>
    <mergeCell ref="C20:E25"/>
    <mergeCell ref="F20:N20"/>
    <mergeCell ref="F21:N21"/>
    <mergeCell ref="F22:N22"/>
    <mergeCell ref="F23:N23"/>
    <mergeCell ref="F25:N25"/>
    <mergeCell ref="C26:E31"/>
    <mergeCell ref="F26:N26"/>
    <mergeCell ref="F27:N27"/>
    <mergeCell ref="F28:N28"/>
    <mergeCell ref="F31:N31"/>
    <mergeCell ref="C33:N33"/>
    <mergeCell ref="C34:N34"/>
    <mergeCell ref="H1:L1"/>
    <mergeCell ref="H2:L2"/>
    <mergeCell ref="A12:B13"/>
    <mergeCell ref="C12:N13"/>
    <mergeCell ref="A14:B38"/>
    <mergeCell ref="C14:E19"/>
    <mergeCell ref="F14:N14"/>
    <mergeCell ref="F44:N44"/>
    <mergeCell ref="F46:N46"/>
    <mergeCell ref="C47:E52"/>
    <mergeCell ref="F52:N52"/>
    <mergeCell ref="F101:N101"/>
    <mergeCell ref="F102:N102"/>
    <mergeCell ref="F85:N85"/>
    <mergeCell ref="C87:N87"/>
    <mergeCell ref="C88:N88"/>
    <mergeCell ref="C93:N94"/>
    <mergeCell ref="F95:N95"/>
    <mergeCell ref="F96:N96"/>
    <mergeCell ref="F97:N97"/>
    <mergeCell ref="C53:E58"/>
    <mergeCell ref="F58:N58"/>
    <mergeCell ref="C60:N60"/>
    <mergeCell ref="C61:N61"/>
    <mergeCell ref="A41:B65"/>
    <mergeCell ref="A66:B67"/>
    <mergeCell ref="A68:B92"/>
    <mergeCell ref="A93:B94"/>
    <mergeCell ref="A95:B119"/>
    <mergeCell ref="A39:B40"/>
    <mergeCell ref="C39:N40"/>
    <mergeCell ref="C41:E46"/>
    <mergeCell ref="F41:N41"/>
    <mergeCell ref="F42:N42"/>
    <mergeCell ref="F43:N43"/>
    <mergeCell ref="C62:N62"/>
    <mergeCell ref="C74:E79"/>
    <mergeCell ref="C80:E85"/>
    <mergeCell ref="C95:E100"/>
    <mergeCell ref="C101:E106"/>
    <mergeCell ref="C107:E112"/>
    <mergeCell ref="C66:N67"/>
    <mergeCell ref="C68:E73"/>
    <mergeCell ref="F68:N68"/>
    <mergeCell ref="F69:N69"/>
    <mergeCell ref="F70:N70"/>
    <mergeCell ref="F74:N74"/>
    <mergeCell ref="F79:N79"/>
    <mergeCell ref="F109:N109"/>
    <mergeCell ref="F112:N112"/>
    <mergeCell ref="C114:N114"/>
    <mergeCell ref="C115:N115"/>
    <mergeCell ref="F75:N75"/>
    <mergeCell ref="F76:N76"/>
    <mergeCell ref="F103:N103"/>
    <mergeCell ref="F104:N104"/>
    <mergeCell ref="F106:N106"/>
    <mergeCell ref="F107:N107"/>
    <mergeCell ref="F108:N108"/>
    <mergeCell ref="A2:G4"/>
    <mergeCell ref="H3:L3"/>
    <mergeCell ref="H4:L4"/>
    <mergeCell ref="M4:N4"/>
    <mergeCell ref="O4:P4"/>
    <mergeCell ref="Q4:R4"/>
    <mergeCell ref="S4:T4"/>
    <mergeCell ref="U4:V4"/>
    <mergeCell ref="M2:N2"/>
    <mergeCell ref="O2:P2"/>
    <mergeCell ref="M3:N3"/>
    <mergeCell ref="O3:P3"/>
    <mergeCell ref="Q3:R3"/>
    <mergeCell ref="S3:T3"/>
    <mergeCell ref="U3:V3"/>
    <mergeCell ref="W1:X1"/>
    <mergeCell ref="Y1:Z1"/>
    <mergeCell ref="AA1:AB1"/>
    <mergeCell ref="Q2:R2"/>
    <mergeCell ref="S2:T2"/>
    <mergeCell ref="W2:X2"/>
    <mergeCell ref="Y2:Z2"/>
    <mergeCell ref="AA2:AB2"/>
    <mergeCell ref="A1:G1"/>
    <mergeCell ref="M1:N1"/>
    <mergeCell ref="O1:P1"/>
    <mergeCell ref="Q1:R1"/>
    <mergeCell ref="S1:T1"/>
    <mergeCell ref="U1:V1"/>
    <mergeCell ref="U2:V2"/>
    <mergeCell ref="AH11:AQ11"/>
    <mergeCell ref="AS11:BB11"/>
    <mergeCell ref="BD11:BM11"/>
    <mergeCell ref="AH12:AQ12"/>
    <mergeCell ref="AS12:BB12"/>
    <mergeCell ref="BD12:BM12"/>
    <mergeCell ref="W3:X3"/>
    <mergeCell ref="Y3:Z3"/>
    <mergeCell ref="AA3:AB3"/>
    <mergeCell ref="W4:X4"/>
    <mergeCell ref="Y4:Z4"/>
    <mergeCell ref="AA4:AB4"/>
    <mergeCell ref="W11:AF11"/>
    <mergeCell ref="W12:AF12"/>
    <mergeCell ref="S15:T15"/>
    <mergeCell ref="U15:V15"/>
    <mergeCell ref="O17:P17"/>
    <mergeCell ref="O18:P18"/>
    <mergeCell ref="Q18:R18"/>
    <mergeCell ref="S18:T18"/>
    <mergeCell ref="U18:V18"/>
    <mergeCell ref="O23:P23"/>
    <mergeCell ref="O24:P24"/>
    <mergeCell ref="Q24:R24"/>
    <mergeCell ref="S24:T24"/>
    <mergeCell ref="U24:V24"/>
    <mergeCell ref="O25:V25"/>
    <mergeCell ref="U26:V26"/>
    <mergeCell ref="O26:P26"/>
    <mergeCell ref="O27:P27"/>
    <mergeCell ref="Q27:R27"/>
    <mergeCell ref="S27:T27"/>
    <mergeCell ref="U27:V27"/>
    <mergeCell ref="O28:P28"/>
    <mergeCell ref="Q28:R28"/>
    <mergeCell ref="S28:T28"/>
    <mergeCell ref="U28:V28"/>
    <mergeCell ref="O29:P29"/>
    <mergeCell ref="Q29:R29"/>
    <mergeCell ref="S29:T29"/>
    <mergeCell ref="U29:V29"/>
    <mergeCell ref="O30:P30"/>
    <mergeCell ref="W34:AA34"/>
    <mergeCell ref="W39:AF39"/>
    <mergeCell ref="AH39:AQ39"/>
    <mergeCell ref="AS39:BB39"/>
    <mergeCell ref="BD39:BM39"/>
    <mergeCell ref="U30:V30"/>
    <mergeCell ref="O31:V31"/>
    <mergeCell ref="O33:V33"/>
    <mergeCell ref="W33:AA33"/>
    <mergeCell ref="AH33:AL33"/>
    <mergeCell ref="O34:V34"/>
    <mergeCell ref="AH34:AL34"/>
    <mergeCell ref="Q30:R30"/>
    <mergeCell ref="S30:T30"/>
    <mergeCell ref="O39:V40"/>
    <mergeCell ref="O41:P41"/>
    <mergeCell ref="Q41:R41"/>
    <mergeCell ref="S41:T41"/>
    <mergeCell ref="U41:V41"/>
    <mergeCell ref="O42:P42"/>
    <mergeCell ref="Q42:R42"/>
    <mergeCell ref="S42:T42"/>
    <mergeCell ref="U42:V42"/>
    <mergeCell ref="Q43:R43"/>
    <mergeCell ref="S43:T43"/>
    <mergeCell ref="U43:V43"/>
    <mergeCell ref="S45:T45"/>
    <mergeCell ref="U45:V45"/>
    <mergeCell ref="W66:AF66"/>
    <mergeCell ref="AH66:AQ66"/>
    <mergeCell ref="AS66:BB66"/>
    <mergeCell ref="BD66:BM66"/>
    <mergeCell ref="O43:P43"/>
    <mergeCell ref="O44:P44"/>
    <mergeCell ref="Q44:R44"/>
    <mergeCell ref="S44:T44"/>
    <mergeCell ref="U44:V44"/>
    <mergeCell ref="O45:P45"/>
    <mergeCell ref="Q45:R45"/>
    <mergeCell ref="S71:T71"/>
    <mergeCell ref="U71:V71"/>
    <mergeCell ref="O69:P69"/>
    <mergeCell ref="O70:P70"/>
    <mergeCell ref="Q70:R70"/>
    <mergeCell ref="S70:T70"/>
    <mergeCell ref="U70:V70"/>
    <mergeCell ref="O71:P71"/>
    <mergeCell ref="Q71:R71"/>
    <mergeCell ref="O46:V46"/>
    <mergeCell ref="O52:V52"/>
    <mergeCell ref="O58:V58"/>
    <mergeCell ref="O60:V60"/>
    <mergeCell ref="O61:V61"/>
    <mergeCell ref="O62:V62"/>
    <mergeCell ref="O66:V67"/>
    <mergeCell ref="O68:P68"/>
    <mergeCell ref="Q68:R68"/>
    <mergeCell ref="S68:T68"/>
    <mergeCell ref="U68:V68"/>
    <mergeCell ref="Q69:R69"/>
    <mergeCell ref="S69:T69"/>
    <mergeCell ref="U69:V69"/>
    <mergeCell ref="S111:T111"/>
    <mergeCell ref="U111:V111"/>
    <mergeCell ref="O109:P109"/>
    <mergeCell ref="O110:P110"/>
    <mergeCell ref="Q110:R110"/>
    <mergeCell ref="S110:T110"/>
    <mergeCell ref="U110:V110"/>
    <mergeCell ref="O111:P111"/>
    <mergeCell ref="Q111:R111"/>
    <mergeCell ref="O12:V13"/>
    <mergeCell ref="O14:P14"/>
    <mergeCell ref="Q14:R14"/>
    <mergeCell ref="S14:T14"/>
    <mergeCell ref="U14:V14"/>
    <mergeCell ref="O15:P15"/>
    <mergeCell ref="Q15:R15"/>
    <mergeCell ref="O16:P16"/>
    <mergeCell ref="Q16:R16"/>
    <mergeCell ref="S16:T16"/>
    <mergeCell ref="U16:V16"/>
    <mergeCell ref="Q17:R17"/>
    <mergeCell ref="S17:T17"/>
    <mergeCell ref="U17:V17"/>
    <mergeCell ref="S21:T21"/>
    <mergeCell ref="U21:V21"/>
    <mergeCell ref="O19:V19"/>
    <mergeCell ref="O20:P20"/>
    <mergeCell ref="Q20:R20"/>
    <mergeCell ref="S20:T20"/>
    <mergeCell ref="U20:V20"/>
    <mergeCell ref="O21:P21"/>
    <mergeCell ref="Q21:R21"/>
    <mergeCell ref="O22:P22"/>
    <mergeCell ref="Q22:R22"/>
    <mergeCell ref="S22:T22"/>
    <mergeCell ref="U22:V22"/>
    <mergeCell ref="Q23:R23"/>
    <mergeCell ref="S23:T23"/>
    <mergeCell ref="U23:V23"/>
    <mergeCell ref="Q26:R26"/>
    <mergeCell ref="S26:T26"/>
    <mergeCell ref="O112:V112"/>
    <mergeCell ref="O114:V114"/>
    <mergeCell ref="O115:V115"/>
    <mergeCell ref="S74:T74"/>
    <mergeCell ref="U74:V74"/>
    <mergeCell ref="O72:P72"/>
    <mergeCell ref="Q72:R72"/>
    <mergeCell ref="S72:T72"/>
    <mergeCell ref="U72:V72"/>
    <mergeCell ref="O73:V73"/>
    <mergeCell ref="O74:P74"/>
    <mergeCell ref="Q74:R74"/>
    <mergeCell ref="O75:P75"/>
    <mergeCell ref="Q75:R75"/>
    <mergeCell ref="S75:T75"/>
    <mergeCell ref="U75:V75"/>
    <mergeCell ref="Q76:R76"/>
    <mergeCell ref="S76:T76"/>
    <mergeCell ref="U76:V76"/>
    <mergeCell ref="W92:AF92"/>
    <mergeCell ref="AH92:AQ92"/>
    <mergeCell ref="AS92:BB92"/>
    <mergeCell ref="BD92:BM92"/>
    <mergeCell ref="W93:AF93"/>
    <mergeCell ref="AH93:AQ93"/>
    <mergeCell ref="AS93:BB93"/>
    <mergeCell ref="BD93:BM93"/>
    <mergeCell ref="O76:P76"/>
    <mergeCell ref="O77:P77"/>
    <mergeCell ref="Q77:R77"/>
    <mergeCell ref="S77:T77"/>
    <mergeCell ref="U77:V77"/>
    <mergeCell ref="O78:P78"/>
    <mergeCell ref="Q78:R78"/>
    <mergeCell ref="S78:T78"/>
    <mergeCell ref="U78:V78"/>
    <mergeCell ref="O79:V79"/>
    <mergeCell ref="O85:V85"/>
    <mergeCell ref="O87:V87"/>
    <mergeCell ref="O88:V88"/>
    <mergeCell ref="O93:V94"/>
    <mergeCell ref="O95:P95"/>
    <mergeCell ref="Q95:R95"/>
    <mergeCell ref="S95:T95"/>
    <mergeCell ref="U95:V95"/>
    <mergeCell ref="Q96:R96"/>
    <mergeCell ref="S96:T96"/>
    <mergeCell ref="U96:V96"/>
    <mergeCell ref="S98:T98"/>
    <mergeCell ref="U98:V98"/>
    <mergeCell ref="O96:P96"/>
    <mergeCell ref="O97:P97"/>
    <mergeCell ref="Q97:R97"/>
    <mergeCell ref="S97:T97"/>
    <mergeCell ref="U97:V97"/>
    <mergeCell ref="O98:P98"/>
    <mergeCell ref="Q98:R98"/>
    <mergeCell ref="S101:T101"/>
    <mergeCell ref="U101:V101"/>
    <mergeCell ref="O99:P99"/>
    <mergeCell ref="Q99:R99"/>
    <mergeCell ref="S99:T99"/>
    <mergeCell ref="U99:V99"/>
    <mergeCell ref="O100:V100"/>
    <mergeCell ref="O101:P101"/>
    <mergeCell ref="Q101:R101"/>
    <mergeCell ref="O102:P102"/>
    <mergeCell ref="Q102:R102"/>
    <mergeCell ref="S102:T102"/>
    <mergeCell ref="U102:V102"/>
    <mergeCell ref="Q103:R103"/>
    <mergeCell ref="S103:T103"/>
    <mergeCell ref="U103:V103"/>
    <mergeCell ref="O103:P103"/>
    <mergeCell ref="O104:P104"/>
    <mergeCell ref="Q104:R104"/>
    <mergeCell ref="S104:T104"/>
    <mergeCell ref="U104:V104"/>
    <mergeCell ref="O105:P105"/>
    <mergeCell ref="Q105:R105"/>
    <mergeCell ref="S105:T105"/>
    <mergeCell ref="U105:V105"/>
    <mergeCell ref="O106:V106"/>
    <mergeCell ref="O107:P107"/>
    <mergeCell ref="Q107:R107"/>
    <mergeCell ref="S107:T107"/>
    <mergeCell ref="U107:V107"/>
    <mergeCell ref="O108:P108"/>
    <mergeCell ref="Q108:R108"/>
    <mergeCell ref="S108:T108"/>
    <mergeCell ref="U108:V108"/>
    <mergeCell ref="Q109:R109"/>
    <mergeCell ref="S109:T109"/>
    <mergeCell ref="U109:V1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9" width="3.25"/>
    <col customWidth="1" min="11" max="14" width="3.25"/>
    <col customWidth="1" min="15" max="15" width="6.5"/>
    <col customWidth="1" min="16" max="19" width="3.25"/>
  </cols>
  <sheetData>
    <row r="1">
      <c r="A1" s="397"/>
      <c r="B1" s="305"/>
      <c r="C1" s="305"/>
      <c r="D1" s="305"/>
      <c r="E1" s="305"/>
      <c r="F1" s="398"/>
      <c r="G1" s="398"/>
      <c r="H1" s="398"/>
      <c r="I1" s="398"/>
      <c r="K1" s="67"/>
      <c r="L1" s="67"/>
      <c r="M1" s="67"/>
      <c r="N1" s="67"/>
    </row>
    <row r="2">
      <c r="A2" s="399" t="s">
        <v>146</v>
      </c>
      <c r="B2" s="62"/>
      <c r="C2" s="62"/>
      <c r="D2" s="62"/>
      <c r="E2" s="63"/>
      <c r="F2" s="398"/>
      <c r="G2" s="398"/>
      <c r="H2" s="398"/>
      <c r="I2" s="398"/>
      <c r="K2" s="400" t="s">
        <v>147</v>
      </c>
      <c r="L2" s="62"/>
      <c r="M2" s="62"/>
      <c r="N2" s="63"/>
      <c r="O2" s="401"/>
      <c r="P2" s="402" t="s">
        <v>148</v>
      </c>
      <c r="Q2" s="62"/>
      <c r="R2" s="62"/>
      <c r="S2" s="63"/>
    </row>
    <row r="3">
      <c r="A3" s="403" t="s">
        <v>149</v>
      </c>
      <c r="B3" s="404">
        <v>35.0</v>
      </c>
      <c r="C3" s="405">
        <v>28.0</v>
      </c>
      <c r="D3" s="405">
        <v>22.0</v>
      </c>
      <c r="E3" s="406">
        <v>15.0</v>
      </c>
      <c r="F3" s="398"/>
      <c r="G3" s="407">
        <v>50.0</v>
      </c>
      <c r="H3" s="407">
        <v>30.0</v>
      </c>
      <c r="I3" s="407">
        <v>20.0</v>
      </c>
      <c r="J3" s="403" t="s">
        <v>149</v>
      </c>
      <c r="K3" s="404">
        <v>33.0</v>
      </c>
      <c r="L3" s="405">
        <v>28.0</v>
      </c>
      <c r="M3" s="405">
        <v>22.0</v>
      </c>
      <c r="N3" s="406">
        <v>17.0</v>
      </c>
      <c r="O3" s="403" t="s">
        <v>149</v>
      </c>
      <c r="P3" s="404">
        <v>32.0</v>
      </c>
      <c r="Q3" s="405">
        <v>27.0</v>
      </c>
      <c r="R3" s="405">
        <v>22.0</v>
      </c>
      <c r="S3" s="406">
        <v>19.0</v>
      </c>
    </row>
    <row r="4">
      <c r="A4" s="408" t="s">
        <v>29</v>
      </c>
      <c r="B4" s="409">
        <v>15.0</v>
      </c>
      <c r="C4" s="410">
        <v>35.0</v>
      </c>
      <c r="D4" s="410">
        <v>28.0</v>
      </c>
      <c r="E4" s="411">
        <v>22.0</v>
      </c>
      <c r="F4" s="398"/>
      <c r="G4" s="407">
        <v>20.0</v>
      </c>
      <c r="H4" s="407">
        <v>50.0</v>
      </c>
      <c r="I4" s="407">
        <v>30.0</v>
      </c>
      <c r="J4" s="408" t="s">
        <v>29</v>
      </c>
      <c r="K4" s="409">
        <v>17.0</v>
      </c>
      <c r="L4" s="410">
        <v>33.0</v>
      </c>
      <c r="M4" s="410">
        <v>28.0</v>
      </c>
      <c r="N4" s="411">
        <v>22.0</v>
      </c>
      <c r="O4" s="408" t="s">
        <v>29</v>
      </c>
      <c r="P4" s="409">
        <v>19.0</v>
      </c>
      <c r="Q4" s="410">
        <v>32.0</v>
      </c>
      <c r="R4" s="410">
        <v>27.0</v>
      </c>
      <c r="S4" s="411">
        <v>22.0</v>
      </c>
    </row>
    <row r="5">
      <c r="A5" s="408" t="s">
        <v>150</v>
      </c>
      <c r="B5" s="409">
        <v>28.0</v>
      </c>
      <c r="C5" s="410">
        <v>35.0</v>
      </c>
      <c r="D5" s="410">
        <v>22.0</v>
      </c>
      <c r="E5" s="411">
        <v>15.0</v>
      </c>
      <c r="F5" s="398"/>
      <c r="G5" s="407">
        <v>30.0</v>
      </c>
      <c r="H5" s="407">
        <v>50.0</v>
      </c>
      <c r="I5" s="407">
        <v>20.0</v>
      </c>
      <c r="J5" s="408" t="s">
        <v>150</v>
      </c>
      <c r="K5" s="409">
        <v>28.0</v>
      </c>
      <c r="L5" s="410">
        <v>33.0</v>
      </c>
      <c r="M5" s="410">
        <v>22.0</v>
      </c>
      <c r="N5" s="411">
        <v>17.0</v>
      </c>
      <c r="O5" s="408" t="s">
        <v>150</v>
      </c>
      <c r="P5" s="409">
        <v>27.0</v>
      </c>
      <c r="Q5" s="410">
        <v>32.0</v>
      </c>
      <c r="R5" s="410">
        <v>22.0</v>
      </c>
      <c r="S5" s="411">
        <v>19.0</v>
      </c>
    </row>
    <row r="6">
      <c r="A6" s="408" t="s">
        <v>151</v>
      </c>
      <c r="B6" s="409">
        <v>22.0</v>
      </c>
      <c r="C6" s="410">
        <v>35.0</v>
      </c>
      <c r="D6" s="410">
        <v>28.0</v>
      </c>
      <c r="E6" s="411">
        <v>15.0</v>
      </c>
      <c r="F6" s="398"/>
      <c r="G6" s="412"/>
      <c r="H6" s="412"/>
      <c r="I6" s="412"/>
      <c r="J6" s="408" t="s">
        <v>151</v>
      </c>
      <c r="K6" s="409">
        <v>22.0</v>
      </c>
      <c r="L6" s="410">
        <v>33.0</v>
      </c>
      <c r="M6" s="410">
        <v>28.0</v>
      </c>
      <c r="N6" s="411">
        <v>17.0</v>
      </c>
      <c r="O6" s="408" t="s">
        <v>151</v>
      </c>
      <c r="P6" s="409">
        <v>22.0</v>
      </c>
      <c r="Q6" s="410">
        <v>32.0</v>
      </c>
      <c r="R6" s="410">
        <v>27.0</v>
      </c>
      <c r="S6" s="411">
        <v>19.0</v>
      </c>
    </row>
    <row r="7">
      <c r="A7" s="408" t="s">
        <v>27</v>
      </c>
      <c r="B7" s="409">
        <v>15.0</v>
      </c>
      <c r="C7" s="410">
        <v>22.0</v>
      </c>
      <c r="D7" s="410">
        <v>35.0</v>
      </c>
      <c r="E7" s="411">
        <v>28.0</v>
      </c>
      <c r="F7" s="398"/>
      <c r="G7" s="407">
        <v>20.0</v>
      </c>
      <c r="H7" s="407">
        <v>30.0</v>
      </c>
      <c r="I7" s="407">
        <v>50.0</v>
      </c>
      <c r="J7" s="408" t="s">
        <v>27</v>
      </c>
      <c r="K7" s="409">
        <v>17.0</v>
      </c>
      <c r="L7" s="410">
        <v>22.0</v>
      </c>
      <c r="M7" s="410">
        <v>33.0</v>
      </c>
      <c r="N7" s="411">
        <v>28.0</v>
      </c>
      <c r="O7" s="408" t="s">
        <v>27</v>
      </c>
      <c r="P7" s="409">
        <v>19.0</v>
      </c>
      <c r="Q7" s="410">
        <v>22.0</v>
      </c>
      <c r="R7" s="410">
        <v>32.0</v>
      </c>
      <c r="S7" s="411">
        <v>27.0</v>
      </c>
    </row>
    <row r="8">
      <c r="A8" s="408" t="s">
        <v>152</v>
      </c>
      <c r="B8" s="409">
        <v>22.0</v>
      </c>
      <c r="C8" s="410">
        <v>28.0</v>
      </c>
      <c r="D8" s="410">
        <v>35.0</v>
      </c>
      <c r="E8" s="411">
        <v>15.0</v>
      </c>
      <c r="F8" s="398"/>
      <c r="G8" s="407">
        <v>30.0</v>
      </c>
      <c r="H8" s="407">
        <v>20.0</v>
      </c>
      <c r="I8" s="407">
        <v>50.0</v>
      </c>
      <c r="J8" s="408" t="s">
        <v>152</v>
      </c>
      <c r="K8" s="409">
        <v>22.0</v>
      </c>
      <c r="L8" s="410">
        <v>28.0</v>
      </c>
      <c r="M8" s="410">
        <v>33.0</v>
      </c>
      <c r="N8" s="411">
        <v>17.0</v>
      </c>
      <c r="O8" s="408" t="s">
        <v>152</v>
      </c>
      <c r="P8" s="409">
        <v>22.0</v>
      </c>
      <c r="Q8" s="410">
        <v>27.0</v>
      </c>
      <c r="R8" s="410">
        <v>32.0</v>
      </c>
      <c r="S8" s="411">
        <v>19.0</v>
      </c>
    </row>
    <row r="9">
      <c r="A9" s="408" t="s">
        <v>62</v>
      </c>
      <c r="B9" s="409">
        <v>15.0</v>
      </c>
      <c r="C9" s="410">
        <v>28.0</v>
      </c>
      <c r="D9" s="410">
        <v>35.0</v>
      </c>
      <c r="E9" s="411">
        <v>22.0</v>
      </c>
      <c r="F9" s="398"/>
      <c r="G9" s="412"/>
      <c r="H9" s="412"/>
      <c r="I9" s="412"/>
      <c r="J9" s="408" t="s">
        <v>62</v>
      </c>
      <c r="K9" s="409">
        <v>17.0</v>
      </c>
      <c r="L9" s="410">
        <v>28.0</v>
      </c>
      <c r="M9" s="410">
        <v>33.0</v>
      </c>
      <c r="N9" s="411">
        <v>22.0</v>
      </c>
      <c r="O9" s="408" t="s">
        <v>62</v>
      </c>
      <c r="P9" s="409">
        <v>19.0</v>
      </c>
      <c r="Q9" s="410">
        <v>27.0</v>
      </c>
      <c r="R9" s="410">
        <v>32.0</v>
      </c>
      <c r="S9" s="411">
        <v>22.0</v>
      </c>
    </row>
    <row r="10">
      <c r="A10" s="408" t="s">
        <v>55</v>
      </c>
      <c r="B10" s="409">
        <v>35.0</v>
      </c>
      <c r="C10" s="410">
        <v>15.0</v>
      </c>
      <c r="D10" s="410">
        <v>28.0</v>
      </c>
      <c r="E10" s="411">
        <v>22.0</v>
      </c>
      <c r="F10" s="398"/>
      <c r="G10" s="407">
        <v>50.0</v>
      </c>
      <c r="H10" s="407">
        <v>20.0</v>
      </c>
      <c r="I10" s="407">
        <v>30.0</v>
      </c>
      <c r="J10" s="408" t="s">
        <v>55</v>
      </c>
      <c r="K10" s="409">
        <v>33.0</v>
      </c>
      <c r="L10" s="410">
        <v>17.0</v>
      </c>
      <c r="M10" s="410">
        <v>28.0</v>
      </c>
      <c r="N10" s="411">
        <v>22.0</v>
      </c>
      <c r="O10" s="408" t="s">
        <v>55</v>
      </c>
      <c r="P10" s="409">
        <v>32.0</v>
      </c>
      <c r="Q10" s="410">
        <v>19.0</v>
      </c>
      <c r="R10" s="410">
        <v>27.0</v>
      </c>
      <c r="S10" s="411">
        <v>22.0</v>
      </c>
    </row>
    <row r="11">
      <c r="A11" s="408" t="s">
        <v>153</v>
      </c>
      <c r="B11" s="409">
        <v>35.0</v>
      </c>
      <c r="C11" s="410">
        <v>22.0</v>
      </c>
      <c r="D11" s="410">
        <v>28.0</v>
      </c>
      <c r="E11" s="411">
        <v>15.0</v>
      </c>
      <c r="F11" s="398"/>
      <c r="G11" s="407">
        <v>50.0</v>
      </c>
      <c r="H11" s="407">
        <v>20.0</v>
      </c>
      <c r="I11" s="407">
        <v>30.0</v>
      </c>
      <c r="J11" s="408" t="s">
        <v>153</v>
      </c>
      <c r="K11" s="409">
        <v>33.0</v>
      </c>
      <c r="L11" s="410">
        <v>22.0</v>
      </c>
      <c r="M11" s="410">
        <v>28.0</v>
      </c>
      <c r="N11" s="411">
        <v>17.0</v>
      </c>
      <c r="O11" s="408" t="s">
        <v>153</v>
      </c>
      <c r="P11" s="409">
        <v>32.0</v>
      </c>
      <c r="Q11" s="410">
        <v>22.0</v>
      </c>
      <c r="R11" s="410">
        <v>27.0</v>
      </c>
      <c r="S11" s="411">
        <v>19.0</v>
      </c>
    </row>
    <row r="12">
      <c r="A12" s="408" t="s">
        <v>154</v>
      </c>
      <c r="B12" s="409">
        <v>28.0</v>
      </c>
      <c r="C12" s="410">
        <v>15.0</v>
      </c>
      <c r="D12" s="410">
        <v>35.0</v>
      </c>
      <c r="E12" s="411">
        <v>22.0</v>
      </c>
      <c r="F12" s="398"/>
      <c r="G12" s="407">
        <v>30.0</v>
      </c>
      <c r="H12" s="407">
        <v>20.0</v>
      </c>
      <c r="I12" s="407">
        <v>50.0</v>
      </c>
      <c r="J12" s="408" t="s">
        <v>154</v>
      </c>
      <c r="K12" s="409">
        <v>28.0</v>
      </c>
      <c r="L12" s="410">
        <v>17.0</v>
      </c>
      <c r="M12" s="410">
        <v>33.0</v>
      </c>
      <c r="N12" s="411">
        <v>22.0</v>
      </c>
      <c r="O12" s="408" t="s">
        <v>154</v>
      </c>
      <c r="P12" s="409">
        <v>27.0</v>
      </c>
      <c r="Q12" s="410">
        <v>19.0</v>
      </c>
      <c r="R12" s="410">
        <v>32.0</v>
      </c>
      <c r="S12" s="411">
        <v>22.0</v>
      </c>
    </row>
    <row r="13">
      <c r="A13" s="408" t="s">
        <v>155</v>
      </c>
      <c r="B13" s="409">
        <v>28.0</v>
      </c>
      <c r="C13" s="410">
        <v>22.0</v>
      </c>
      <c r="D13" s="410">
        <v>35.0</v>
      </c>
      <c r="E13" s="411">
        <v>15.0</v>
      </c>
      <c r="F13" s="398"/>
      <c r="G13" s="407">
        <v>30.0</v>
      </c>
      <c r="H13" s="407">
        <v>20.0</v>
      </c>
      <c r="I13" s="407">
        <v>50.0</v>
      </c>
      <c r="J13" s="408" t="s">
        <v>155</v>
      </c>
      <c r="K13" s="409">
        <v>28.0</v>
      </c>
      <c r="L13" s="410">
        <v>22.0</v>
      </c>
      <c r="M13" s="410">
        <v>33.0</v>
      </c>
      <c r="N13" s="411">
        <v>17.0</v>
      </c>
      <c r="O13" s="408" t="s">
        <v>155</v>
      </c>
      <c r="P13" s="409">
        <v>27.0</v>
      </c>
      <c r="Q13" s="410">
        <v>22.0</v>
      </c>
      <c r="R13" s="410">
        <v>32.0</v>
      </c>
      <c r="S13" s="411">
        <v>19.0</v>
      </c>
    </row>
    <row r="14">
      <c r="A14" s="408" t="s">
        <v>156</v>
      </c>
      <c r="B14" s="409">
        <v>15.0</v>
      </c>
      <c r="C14" s="410">
        <v>22.0</v>
      </c>
      <c r="D14" s="410">
        <v>28.0</v>
      </c>
      <c r="E14" s="411">
        <v>35.0</v>
      </c>
      <c r="F14" s="398"/>
      <c r="G14" s="398"/>
      <c r="H14" s="398"/>
      <c r="I14" s="398"/>
      <c r="J14" s="408" t="s">
        <v>156</v>
      </c>
      <c r="K14" s="409">
        <v>17.0</v>
      </c>
      <c r="L14" s="410">
        <v>22.0</v>
      </c>
      <c r="M14" s="410">
        <v>28.0</v>
      </c>
      <c r="N14" s="411">
        <v>33.0</v>
      </c>
      <c r="O14" s="408" t="s">
        <v>156</v>
      </c>
      <c r="P14" s="409">
        <v>19.0</v>
      </c>
      <c r="Q14" s="410">
        <v>22.0</v>
      </c>
      <c r="R14" s="410">
        <v>27.0</v>
      </c>
      <c r="S14" s="411">
        <v>32.0</v>
      </c>
    </row>
    <row r="15">
      <c r="A15" s="408" t="s">
        <v>157</v>
      </c>
      <c r="B15" s="409">
        <v>15.0</v>
      </c>
      <c r="C15" s="410">
        <v>35.0</v>
      </c>
      <c r="D15" s="410">
        <v>22.0</v>
      </c>
      <c r="E15" s="411">
        <v>28.0</v>
      </c>
      <c r="F15" s="398"/>
      <c r="G15" s="398"/>
      <c r="H15" s="398"/>
      <c r="I15" s="398"/>
      <c r="J15" s="408" t="s">
        <v>157</v>
      </c>
      <c r="K15" s="409">
        <v>17.0</v>
      </c>
      <c r="L15" s="410">
        <v>33.0</v>
      </c>
      <c r="M15" s="410">
        <v>22.0</v>
      </c>
      <c r="N15" s="411">
        <v>28.0</v>
      </c>
      <c r="O15" s="408" t="s">
        <v>157</v>
      </c>
      <c r="P15" s="409">
        <v>19.0</v>
      </c>
      <c r="Q15" s="410">
        <v>32.0</v>
      </c>
      <c r="R15" s="410">
        <v>22.0</v>
      </c>
      <c r="S15" s="411">
        <v>27.0</v>
      </c>
    </row>
    <row r="16">
      <c r="A16" s="408" t="s">
        <v>158</v>
      </c>
      <c r="B16" s="409">
        <v>22.0</v>
      </c>
      <c r="C16" s="410">
        <v>35.0</v>
      </c>
      <c r="D16" s="410">
        <v>15.0</v>
      </c>
      <c r="E16" s="411">
        <v>28.0</v>
      </c>
      <c r="F16" s="398"/>
      <c r="G16" s="398"/>
      <c r="H16" s="398"/>
      <c r="I16" s="398"/>
      <c r="J16" s="408" t="s">
        <v>158</v>
      </c>
      <c r="K16" s="409">
        <v>22.0</v>
      </c>
      <c r="L16" s="410">
        <v>33.0</v>
      </c>
      <c r="M16" s="410">
        <v>17.0</v>
      </c>
      <c r="N16" s="411">
        <v>28.0</v>
      </c>
      <c r="O16" s="408" t="s">
        <v>158</v>
      </c>
      <c r="P16" s="409">
        <v>22.0</v>
      </c>
      <c r="Q16" s="410">
        <v>32.0</v>
      </c>
      <c r="R16" s="410">
        <v>19.0</v>
      </c>
      <c r="S16" s="411">
        <v>27.0</v>
      </c>
    </row>
    <row r="17">
      <c r="A17" s="408" t="s">
        <v>61</v>
      </c>
      <c r="B17" s="409">
        <v>22.0</v>
      </c>
      <c r="C17" s="410">
        <v>28.0</v>
      </c>
      <c r="D17" s="410">
        <v>15.0</v>
      </c>
      <c r="E17" s="411">
        <v>35.0</v>
      </c>
      <c r="F17" s="398"/>
      <c r="G17" s="398"/>
      <c r="H17" s="398"/>
      <c r="I17" s="398"/>
      <c r="J17" s="408" t="s">
        <v>61</v>
      </c>
      <c r="K17" s="409">
        <v>22.0</v>
      </c>
      <c r="L17" s="410">
        <v>28.0</v>
      </c>
      <c r="M17" s="410">
        <v>17.0</v>
      </c>
      <c r="N17" s="411">
        <v>33.0</v>
      </c>
      <c r="O17" s="408" t="s">
        <v>61</v>
      </c>
      <c r="P17" s="409">
        <v>22.0</v>
      </c>
      <c r="Q17" s="410">
        <v>27.0</v>
      </c>
      <c r="R17" s="410">
        <v>19.0</v>
      </c>
      <c r="S17" s="411">
        <v>32.0</v>
      </c>
    </row>
    <row r="18">
      <c r="A18" s="413" t="s">
        <v>159</v>
      </c>
      <c r="B18" s="414">
        <v>15.0</v>
      </c>
      <c r="C18" s="415">
        <v>28.0</v>
      </c>
      <c r="D18" s="415">
        <v>22.0</v>
      </c>
      <c r="E18" s="416">
        <v>35.0</v>
      </c>
      <c r="F18" s="398"/>
      <c r="G18" s="398"/>
      <c r="H18" s="398"/>
      <c r="I18" s="398"/>
      <c r="J18" s="413" t="s">
        <v>159</v>
      </c>
      <c r="K18" s="414">
        <v>17.0</v>
      </c>
      <c r="L18" s="415">
        <v>28.0</v>
      </c>
      <c r="M18" s="415">
        <v>22.0</v>
      </c>
      <c r="N18" s="416">
        <v>33.0</v>
      </c>
      <c r="O18" s="413" t="s">
        <v>159</v>
      </c>
      <c r="P18" s="414">
        <v>19.0</v>
      </c>
      <c r="Q18" s="415">
        <v>27.0</v>
      </c>
      <c r="R18" s="415">
        <v>22.0</v>
      </c>
      <c r="S18" s="416">
        <v>32.0</v>
      </c>
    </row>
    <row r="19">
      <c r="A19" s="397"/>
      <c r="B19" s="305"/>
      <c r="C19" s="305"/>
      <c r="D19" s="305"/>
      <c r="E19" s="305"/>
      <c r="F19" s="398"/>
      <c r="G19" s="398"/>
      <c r="H19" s="398"/>
      <c r="I19" s="398"/>
      <c r="K19" s="67"/>
      <c r="L19" s="67"/>
      <c r="M19" s="67"/>
      <c r="N19" s="67"/>
    </row>
    <row r="20">
      <c r="A20" s="417" t="s">
        <v>160</v>
      </c>
      <c r="D20" s="305"/>
      <c r="E20" s="305"/>
      <c r="F20" s="398"/>
      <c r="G20" s="418" t="s">
        <v>161</v>
      </c>
      <c r="I20" s="398"/>
      <c r="K20" s="67"/>
      <c r="L20" s="67"/>
      <c r="M20" s="67"/>
      <c r="N20" s="67"/>
    </row>
    <row r="21">
      <c r="A21" s="419" t="s">
        <v>47</v>
      </c>
      <c r="B21" s="398"/>
      <c r="C21" s="420">
        <v>40.0</v>
      </c>
      <c r="D21" s="410">
        <v>60.0</v>
      </c>
      <c r="E21" s="305"/>
      <c r="F21" s="398"/>
      <c r="G21" s="418" t="s">
        <v>50</v>
      </c>
      <c r="H21" s="398"/>
      <c r="I21" s="398"/>
      <c r="J21" s="421" t="s">
        <v>162</v>
      </c>
      <c r="K21" s="67"/>
      <c r="L21" s="67"/>
      <c r="M21" s="67"/>
      <c r="N21" s="67"/>
    </row>
    <row r="22">
      <c r="A22" s="419" t="s">
        <v>48</v>
      </c>
      <c r="B22" s="398"/>
      <c r="C22" s="420">
        <v>35.0</v>
      </c>
      <c r="D22" s="410">
        <v>65.0</v>
      </c>
      <c r="E22" s="305"/>
      <c r="F22" s="398"/>
      <c r="G22" s="418" t="s">
        <v>49</v>
      </c>
      <c r="H22" s="398"/>
      <c r="I22" s="398"/>
      <c r="J22" s="421" t="s">
        <v>4</v>
      </c>
      <c r="K22" s="67"/>
      <c r="L22" s="67"/>
      <c r="M22" s="67"/>
      <c r="N22" s="67"/>
    </row>
    <row r="23">
      <c r="A23" s="419" t="s">
        <v>51</v>
      </c>
      <c r="B23" s="398"/>
      <c r="C23" s="420">
        <v>30.0</v>
      </c>
      <c r="D23" s="410">
        <v>70.0</v>
      </c>
      <c r="E23" s="305"/>
      <c r="F23" s="398"/>
      <c r="G23" s="398"/>
      <c r="H23" s="398"/>
      <c r="I23" s="398"/>
      <c r="J23" s="421" t="s">
        <v>163</v>
      </c>
      <c r="K23" s="67"/>
      <c r="L23" s="67"/>
      <c r="M23" s="67"/>
      <c r="N23" s="67"/>
    </row>
    <row r="24">
      <c r="A24" s="419" t="s">
        <v>52</v>
      </c>
      <c r="B24" s="398"/>
      <c r="C24" s="420">
        <v>25.0</v>
      </c>
      <c r="D24" s="410">
        <v>75.0</v>
      </c>
      <c r="E24" s="305"/>
      <c r="F24" s="398"/>
      <c r="G24" s="398"/>
      <c r="H24" s="398"/>
      <c r="I24" s="398"/>
      <c r="K24" s="67"/>
      <c r="L24" s="67"/>
      <c r="M24" s="67"/>
      <c r="N24" s="67"/>
    </row>
    <row r="25">
      <c r="A25" s="419" t="s">
        <v>53</v>
      </c>
      <c r="B25" s="398"/>
      <c r="C25" s="420">
        <v>20.0</v>
      </c>
      <c r="D25" s="410">
        <v>80.0</v>
      </c>
      <c r="E25" s="305"/>
      <c r="F25" s="398"/>
      <c r="G25" s="398"/>
      <c r="H25" s="398"/>
      <c r="I25" s="398"/>
      <c r="K25" s="67"/>
      <c r="L25" s="67"/>
      <c r="M25" s="67"/>
      <c r="N25" s="67"/>
    </row>
    <row r="26">
      <c r="A26" s="397"/>
      <c r="B26" s="305"/>
      <c r="C26" s="305"/>
      <c r="D26" s="305"/>
      <c r="E26" s="305"/>
      <c r="F26" s="398"/>
      <c r="G26" s="398"/>
      <c r="H26" s="398"/>
      <c r="I26" s="398"/>
      <c r="K26" s="67"/>
      <c r="L26" s="67"/>
      <c r="M26" s="67"/>
      <c r="N26" s="67"/>
    </row>
    <row r="27">
      <c r="A27" s="422" t="s">
        <v>164</v>
      </c>
      <c r="B27" s="422"/>
      <c r="C27" s="422"/>
      <c r="D27" s="422"/>
      <c r="E27" s="305"/>
      <c r="F27" s="398"/>
      <c r="G27" s="418" t="s">
        <v>165</v>
      </c>
      <c r="K27" s="67"/>
      <c r="L27" s="67"/>
      <c r="M27" s="67"/>
      <c r="N27" s="67"/>
    </row>
    <row r="28">
      <c r="A28" s="419" t="s">
        <v>34</v>
      </c>
      <c r="B28" s="420">
        <v>25.0</v>
      </c>
      <c r="C28" s="410">
        <v>33.0</v>
      </c>
      <c r="D28" s="410">
        <v>42.0</v>
      </c>
      <c r="E28" s="305"/>
      <c r="F28" s="398"/>
      <c r="G28" s="418" t="s">
        <v>56</v>
      </c>
      <c r="H28" s="398"/>
      <c r="I28" s="398"/>
      <c r="K28" s="67"/>
      <c r="L28" s="67"/>
      <c r="M28" s="67"/>
      <c r="N28" s="67"/>
    </row>
    <row r="29">
      <c r="A29" s="419" t="s">
        <v>36</v>
      </c>
      <c r="B29" s="420">
        <v>20.0</v>
      </c>
      <c r="C29" s="410">
        <v>35.0</v>
      </c>
      <c r="D29" s="410">
        <v>45.0</v>
      </c>
      <c r="E29" s="305"/>
      <c r="F29" s="398"/>
      <c r="G29" s="418" t="s">
        <v>37</v>
      </c>
      <c r="H29" s="398"/>
      <c r="I29" s="398"/>
      <c r="K29" s="67"/>
      <c r="L29" s="67"/>
      <c r="M29" s="67"/>
      <c r="N29" s="67"/>
    </row>
    <row r="30">
      <c r="A30" s="419" t="s">
        <v>39</v>
      </c>
      <c r="B30" s="420">
        <v>22.0</v>
      </c>
      <c r="C30" s="410">
        <v>28.0</v>
      </c>
      <c r="D30" s="410">
        <v>50.0</v>
      </c>
      <c r="E30" s="305"/>
      <c r="F30" s="398"/>
      <c r="G30" s="418" t="s">
        <v>40</v>
      </c>
      <c r="H30" s="398"/>
      <c r="I30" s="398"/>
      <c r="K30" s="67"/>
      <c r="L30" s="67"/>
      <c r="M30" s="67"/>
      <c r="N30" s="67"/>
    </row>
    <row r="31">
      <c r="A31" s="419" t="s">
        <v>41</v>
      </c>
      <c r="B31" s="420">
        <v>20.0</v>
      </c>
      <c r="C31" s="410">
        <v>30.0</v>
      </c>
      <c r="D31" s="410">
        <v>50.0</v>
      </c>
      <c r="E31" s="305"/>
      <c r="F31" s="398"/>
      <c r="G31" s="418" t="s">
        <v>42</v>
      </c>
      <c r="H31" s="398"/>
      <c r="I31" s="398"/>
      <c r="K31" s="67"/>
      <c r="L31" s="67"/>
      <c r="M31" s="67"/>
      <c r="N31" s="67"/>
    </row>
    <row r="32">
      <c r="A32" s="419" t="s">
        <v>43</v>
      </c>
      <c r="B32" s="420">
        <v>15.0</v>
      </c>
      <c r="C32" s="410">
        <v>35.0</v>
      </c>
      <c r="D32" s="410">
        <v>50.0</v>
      </c>
      <c r="E32" s="305"/>
      <c r="F32" s="398"/>
      <c r="G32" s="418" t="s">
        <v>44</v>
      </c>
      <c r="H32" s="398"/>
      <c r="I32" s="398"/>
      <c r="K32" s="67"/>
      <c r="L32" s="67"/>
      <c r="M32" s="67"/>
      <c r="N32" s="67"/>
    </row>
    <row r="33">
      <c r="A33" s="419" t="s">
        <v>45</v>
      </c>
      <c r="B33" s="420">
        <v>15.0</v>
      </c>
      <c r="C33" s="410">
        <v>30.0</v>
      </c>
      <c r="D33" s="410">
        <v>50.0</v>
      </c>
      <c r="E33" s="305"/>
      <c r="F33" s="398"/>
      <c r="G33" s="418" t="s">
        <v>46</v>
      </c>
      <c r="H33" s="398"/>
      <c r="I33" s="398"/>
      <c r="K33" s="67"/>
      <c r="L33" s="67"/>
      <c r="M33" s="67"/>
      <c r="N33" s="67"/>
    </row>
    <row r="34">
      <c r="A34" s="397"/>
      <c r="B34" s="305"/>
      <c r="C34" s="305"/>
      <c r="D34" s="305"/>
      <c r="E34" s="305"/>
      <c r="F34" s="398"/>
      <c r="G34" s="398"/>
      <c r="H34" s="398"/>
      <c r="I34" s="398"/>
      <c r="K34" s="67"/>
      <c r="L34" s="67"/>
      <c r="M34" s="67"/>
      <c r="N34" s="67"/>
    </row>
    <row r="35">
      <c r="A35" s="422" t="s">
        <v>166</v>
      </c>
      <c r="B35" s="422"/>
      <c r="C35" s="422"/>
      <c r="D35" s="422"/>
      <c r="E35" s="422"/>
      <c r="F35" s="398"/>
      <c r="G35" s="398"/>
      <c r="H35" s="398"/>
      <c r="I35" s="398"/>
      <c r="K35" s="67"/>
      <c r="L35" s="67"/>
      <c r="M35" s="67"/>
      <c r="N35" s="67"/>
    </row>
    <row r="36">
      <c r="A36" s="419" t="s">
        <v>167</v>
      </c>
      <c r="B36" s="410">
        <v>15.0</v>
      </c>
      <c r="C36" s="410">
        <v>22.0</v>
      </c>
      <c r="D36" s="410">
        <v>28.0</v>
      </c>
      <c r="E36" s="410">
        <v>35.0</v>
      </c>
      <c r="F36" s="398"/>
      <c r="G36" s="398"/>
      <c r="H36" s="398"/>
      <c r="I36" s="398"/>
      <c r="K36" s="67"/>
      <c r="L36" s="67"/>
      <c r="M36" s="67"/>
      <c r="N36" s="67"/>
    </row>
    <row r="37">
      <c r="A37" s="419" t="s">
        <v>168</v>
      </c>
      <c r="B37" s="410">
        <v>10.0</v>
      </c>
      <c r="C37" s="410">
        <v>20.0</v>
      </c>
      <c r="D37" s="410">
        <v>30.0</v>
      </c>
      <c r="E37" s="410">
        <v>40.0</v>
      </c>
      <c r="F37" s="398"/>
      <c r="G37" s="398"/>
      <c r="H37" s="398"/>
      <c r="I37" s="398"/>
      <c r="K37" s="67"/>
      <c r="L37" s="67"/>
      <c r="M37" s="67"/>
      <c r="N37" s="67"/>
    </row>
    <row r="38">
      <c r="A38" s="397"/>
      <c r="B38" s="305"/>
      <c r="C38" s="305"/>
      <c r="D38" s="305"/>
      <c r="E38" s="305"/>
      <c r="F38" s="398"/>
      <c r="G38" s="398"/>
      <c r="H38" s="398"/>
      <c r="I38" s="398"/>
      <c r="K38" s="67"/>
      <c r="L38" s="67"/>
      <c r="M38" s="67"/>
      <c r="N38" s="67"/>
    </row>
    <row r="39">
      <c r="A39" s="422" t="s">
        <v>169</v>
      </c>
      <c r="B39" s="422"/>
      <c r="C39" s="422"/>
      <c r="D39" s="422"/>
      <c r="E39" s="422"/>
      <c r="F39" s="422"/>
      <c r="G39" s="398"/>
      <c r="H39" s="398"/>
      <c r="I39" s="398"/>
      <c r="K39" s="67"/>
      <c r="L39" s="67"/>
      <c r="M39" s="67"/>
      <c r="N39" s="67"/>
    </row>
    <row r="40">
      <c r="A40" s="419" t="s">
        <v>170</v>
      </c>
      <c r="B40" s="410">
        <v>10.0</v>
      </c>
      <c r="C40" s="410">
        <v>15.0</v>
      </c>
      <c r="D40" s="410">
        <v>20.0</v>
      </c>
      <c r="E40" s="410">
        <v>25.0</v>
      </c>
      <c r="F40" s="418">
        <v>30.0</v>
      </c>
      <c r="G40" s="398"/>
      <c r="H40" s="398"/>
      <c r="I40" s="398"/>
      <c r="K40" s="67"/>
      <c r="L40" s="67"/>
      <c r="M40" s="67"/>
      <c r="N40" s="67"/>
    </row>
    <row r="41">
      <c r="A41" s="397"/>
      <c r="B41" s="305"/>
      <c r="C41" s="305"/>
      <c r="D41" s="305"/>
      <c r="E41" s="305"/>
      <c r="F41" s="398"/>
      <c r="G41" s="398"/>
      <c r="H41" s="398"/>
      <c r="I41" s="398"/>
      <c r="K41" s="67"/>
      <c r="L41" s="67"/>
      <c r="M41" s="67"/>
      <c r="N41" s="67"/>
    </row>
    <row r="42">
      <c r="A42" s="397"/>
      <c r="B42" s="305"/>
      <c r="C42" s="305"/>
      <c r="D42" s="305"/>
      <c r="E42" s="305"/>
      <c r="F42" s="398"/>
      <c r="G42" s="398"/>
      <c r="H42" s="398"/>
      <c r="I42" s="398"/>
      <c r="K42" s="67"/>
      <c r="L42" s="67"/>
      <c r="M42" s="67"/>
      <c r="N42" s="67"/>
    </row>
    <row r="43">
      <c r="A43" s="422" t="s">
        <v>171</v>
      </c>
      <c r="B43" s="305"/>
      <c r="C43" s="305"/>
      <c r="D43" s="305"/>
      <c r="E43" s="305"/>
      <c r="F43" s="398"/>
      <c r="G43" s="398"/>
      <c r="H43" s="398"/>
      <c r="I43" s="398"/>
      <c r="K43" s="67"/>
      <c r="L43" s="67"/>
      <c r="M43" s="67"/>
      <c r="N43" s="67"/>
    </row>
    <row r="44">
      <c r="A44" s="423" t="s">
        <v>73</v>
      </c>
      <c r="B44" s="305"/>
      <c r="C44" s="305"/>
      <c r="D44" s="305"/>
      <c r="E44" s="305"/>
      <c r="F44" s="398"/>
      <c r="G44" s="398"/>
      <c r="H44" s="398"/>
      <c r="I44" s="398"/>
      <c r="K44" s="67"/>
      <c r="L44" s="67"/>
      <c r="M44" s="67"/>
      <c r="N44" s="67"/>
    </row>
    <row r="45">
      <c r="A45" s="423" t="s">
        <v>69</v>
      </c>
      <c r="B45" s="305"/>
      <c r="C45" s="305"/>
      <c r="D45" s="305"/>
      <c r="E45" s="305"/>
      <c r="F45" s="398"/>
      <c r="G45" s="398"/>
      <c r="H45" s="398"/>
      <c r="I45" s="398"/>
      <c r="K45" s="67"/>
      <c r="L45" s="67"/>
      <c r="M45" s="67"/>
      <c r="N45" s="67"/>
    </row>
    <row r="46">
      <c r="A46" s="423" t="s">
        <v>71</v>
      </c>
      <c r="B46" s="305"/>
      <c r="C46" s="305"/>
      <c r="D46" s="305"/>
      <c r="E46" s="305"/>
      <c r="F46" s="398"/>
      <c r="G46" s="398"/>
      <c r="H46" s="398"/>
      <c r="I46" s="398"/>
      <c r="K46" s="67"/>
      <c r="L46" s="67"/>
      <c r="M46" s="67"/>
      <c r="N46" s="67"/>
    </row>
    <row r="47">
      <c r="A47" s="423" t="s">
        <v>72</v>
      </c>
      <c r="B47" s="305"/>
      <c r="C47" s="305"/>
      <c r="D47" s="305"/>
      <c r="E47" s="305"/>
      <c r="F47" s="398"/>
      <c r="G47" s="398"/>
      <c r="H47" s="398"/>
      <c r="I47" s="398"/>
      <c r="K47" s="67"/>
      <c r="L47" s="67"/>
      <c r="M47" s="67"/>
      <c r="N47" s="67"/>
    </row>
    <row r="48">
      <c r="A48" s="423" t="s">
        <v>74</v>
      </c>
      <c r="B48" s="305"/>
      <c r="C48" s="305"/>
      <c r="D48" s="305"/>
      <c r="E48" s="305"/>
      <c r="F48" s="398"/>
      <c r="G48" s="398"/>
      <c r="H48" s="398"/>
      <c r="I48" s="398"/>
      <c r="K48" s="67"/>
      <c r="L48" s="67"/>
      <c r="M48" s="67"/>
      <c r="N48" s="67"/>
    </row>
    <row r="49">
      <c r="A49" s="423" t="s">
        <v>70</v>
      </c>
      <c r="B49" s="305"/>
      <c r="C49" s="305"/>
      <c r="D49" s="305"/>
      <c r="E49" s="305"/>
      <c r="F49" s="398"/>
      <c r="G49" s="398"/>
      <c r="H49" s="398"/>
      <c r="I49" s="398"/>
      <c r="K49" s="67"/>
      <c r="L49" s="67"/>
      <c r="M49" s="67"/>
      <c r="N49" s="67"/>
    </row>
    <row r="50">
      <c r="A50" s="423" t="s">
        <v>76</v>
      </c>
      <c r="B50" s="305"/>
      <c r="C50" s="305"/>
      <c r="D50" s="305"/>
      <c r="E50" s="305"/>
      <c r="F50" s="398"/>
      <c r="G50" s="398"/>
      <c r="H50" s="398"/>
      <c r="I50" s="398"/>
      <c r="K50" s="67"/>
      <c r="L50" s="67"/>
      <c r="M50" s="67"/>
      <c r="N50" s="67"/>
    </row>
    <row r="51">
      <c r="A51" s="423" t="s">
        <v>77</v>
      </c>
      <c r="B51" s="305"/>
      <c r="C51" s="305"/>
      <c r="D51" s="305"/>
      <c r="E51" s="305"/>
      <c r="F51" s="398"/>
      <c r="G51" s="398"/>
      <c r="H51" s="398"/>
      <c r="I51" s="398"/>
      <c r="K51" s="67"/>
      <c r="L51" s="67"/>
      <c r="M51" s="67"/>
      <c r="N51" s="67"/>
    </row>
    <row r="52">
      <c r="A52" s="423" t="s">
        <v>75</v>
      </c>
      <c r="B52" s="305"/>
      <c r="C52" s="305"/>
      <c r="D52" s="305"/>
      <c r="E52" s="305"/>
      <c r="F52" s="398"/>
      <c r="G52" s="398"/>
      <c r="H52" s="398"/>
      <c r="I52" s="398"/>
      <c r="K52" s="67"/>
      <c r="L52" s="67"/>
      <c r="M52" s="67"/>
      <c r="N52" s="67"/>
    </row>
    <row r="53">
      <c r="A53" s="423" t="s">
        <v>78</v>
      </c>
      <c r="B53" s="305"/>
      <c r="C53" s="305"/>
      <c r="D53" s="305"/>
      <c r="E53" s="305"/>
      <c r="F53" s="398"/>
      <c r="G53" s="398"/>
      <c r="H53" s="398"/>
      <c r="I53" s="398"/>
      <c r="K53" s="67"/>
      <c r="L53" s="67"/>
      <c r="M53" s="67"/>
      <c r="N53" s="67"/>
    </row>
    <row r="54">
      <c r="A54" s="397"/>
      <c r="B54" s="305"/>
      <c r="C54" s="305"/>
      <c r="D54" s="305"/>
      <c r="E54" s="305"/>
      <c r="F54" s="398"/>
      <c r="G54" s="398"/>
      <c r="H54" s="398"/>
      <c r="I54" s="398"/>
      <c r="K54" s="67"/>
      <c r="L54" s="67"/>
      <c r="M54" s="67"/>
      <c r="N54" s="67"/>
    </row>
    <row r="55">
      <c r="A55" s="397"/>
      <c r="B55" s="305"/>
      <c r="C55" s="305"/>
      <c r="D55" s="305"/>
      <c r="E55" s="305"/>
      <c r="F55" s="398"/>
      <c r="G55" s="398"/>
      <c r="H55" s="398"/>
      <c r="I55" s="398"/>
      <c r="K55" s="67"/>
      <c r="L55" s="67"/>
      <c r="M55" s="67"/>
      <c r="N55" s="67"/>
    </row>
    <row r="56">
      <c r="A56" s="397"/>
      <c r="B56" s="305"/>
      <c r="C56" s="305"/>
      <c r="D56" s="305"/>
      <c r="E56" s="305"/>
      <c r="F56" s="398"/>
      <c r="G56" s="398"/>
      <c r="H56" s="398"/>
      <c r="I56" s="398"/>
      <c r="K56" s="67"/>
      <c r="L56" s="67"/>
      <c r="M56" s="67"/>
      <c r="N56" s="67"/>
    </row>
    <row r="57">
      <c r="A57" s="397"/>
      <c r="B57" s="305"/>
      <c r="C57" s="305"/>
      <c r="D57" s="305"/>
      <c r="E57" s="305"/>
      <c r="F57" s="398"/>
      <c r="G57" s="398"/>
      <c r="H57" s="398"/>
      <c r="I57" s="398"/>
      <c r="K57" s="67"/>
      <c r="L57" s="67"/>
      <c r="M57" s="67"/>
      <c r="N57" s="67"/>
    </row>
    <row r="58">
      <c r="A58" s="397"/>
      <c r="B58" s="305"/>
      <c r="C58" s="305"/>
      <c r="D58" s="305"/>
      <c r="E58" s="305"/>
      <c r="F58" s="398"/>
      <c r="G58" s="398"/>
      <c r="H58" s="398"/>
      <c r="I58" s="398"/>
      <c r="K58" s="67"/>
      <c r="L58" s="67"/>
      <c r="M58" s="67"/>
      <c r="N58" s="67"/>
    </row>
    <row r="59">
      <c r="A59" s="397"/>
      <c r="B59" s="305"/>
      <c r="C59" s="305"/>
      <c r="D59" s="305"/>
      <c r="E59" s="305"/>
      <c r="F59" s="398"/>
      <c r="G59" s="398"/>
      <c r="H59" s="398"/>
      <c r="I59" s="398"/>
      <c r="K59" s="67"/>
      <c r="L59" s="67"/>
      <c r="M59" s="67"/>
      <c r="N59" s="67"/>
    </row>
    <row r="60">
      <c r="A60" s="397"/>
      <c r="B60" s="305"/>
      <c r="C60" s="305"/>
      <c r="D60" s="305"/>
      <c r="E60" s="305"/>
      <c r="F60" s="398"/>
      <c r="G60" s="398"/>
      <c r="H60" s="398"/>
      <c r="I60" s="398"/>
      <c r="K60" s="67"/>
      <c r="L60" s="67"/>
      <c r="M60" s="67"/>
      <c r="N60" s="67"/>
    </row>
    <row r="61">
      <c r="A61" s="397"/>
      <c r="B61" s="305"/>
      <c r="C61" s="305"/>
      <c r="D61" s="305"/>
      <c r="E61" s="305"/>
      <c r="F61" s="398"/>
      <c r="G61" s="398"/>
      <c r="H61" s="398"/>
      <c r="I61" s="398"/>
      <c r="K61" s="67"/>
      <c r="L61" s="67"/>
      <c r="M61" s="67"/>
      <c r="N61" s="67"/>
    </row>
    <row r="62">
      <c r="A62" s="397"/>
      <c r="B62" s="305"/>
      <c r="C62" s="305"/>
      <c r="D62" s="305"/>
      <c r="E62" s="305"/>
      <c r="F62" s="398"/>
      <c r="G62" s="398"/>
      <c r="H62" s="398"/>
      <c r="I62" s="398"/>
      <c r="K62" s="67"/>
      <c r="L62" s="67"/>
      <c r="M62" s="67"/>
      <c r="N62" s="67"/>
    </row>
    <row r="63">
      <c r="A63" s="397"/>
      <c r="B63" s="305"/>
      <c r="C63" s="305"/>
      <c r="D63" s="305"/>
      <c r="E63" s="305"/>
      <c r="F63" s="398"/>
      <c r="G63" s="398"/>
      <c r="H63" s="398"/>
      <c r="I63" s="398"/>
      <c r="K63" s="67"/>
      <c r="L63" s="67"/>
      <c r="M63" s="67"/>
      <c r="N63" s="67"/>
    </row>
    <row r="64">
      <c r="A64" s="397"/>
      <c r="B64" s="305"/>
      <c r="C64" s="305"/>
      <c r="D64" s="305"/>
      <c r="E64" s="305"/>
      <c r="F64" s="398"/>
      <c r="G64" s="398"/>
      <c r="H64" s="398"/>
      <c r="I64" s="398"/>
      <c r="K64" s="67"/>
      <c r="L64" s="67"/>
      <c r="M64" s="67"/>
      <c r="N64" s="67"/>
    </row>
    <row r="65">
      <c r="A65" s="397"/>
      <c r="B65" s="305"/>
      <c r="C65" s="305"/>
      <c r="D65" s="305"/>
      <c r="E65" s="305"/>
      <c r="F65" s="398"/>
      <c r="G65" s="398"/>
      <c r="H65" s="398"/>
      <c r="I65" s="398"/>
      <c r="K65" s="67"/>
      <c r="L65" s="67"/>
      <c r="M65" s="67"/>
      <c r="N65" s="67"/>
    </row>
    <row r="66">
      <c r="A66" s="397"/>
      <c r="B66" s="305"/>
      <c r="C66" s="305"/>
      <c r="D66" s="305"/>
      <c r="E66" s="305"/>
      <c r="F66" s="398"/>
      <c r="G66" s="398"/>
      <c r="H66" s="398"/>
      <c r="I66" s="398"/>
      <c r="K66" s="67"/>
      <c r="L66" s="67"/>
      <c r="M66" s="67"/>
      <c r="N66" s="67"/>
    </row>
    <row r="67">
      <c r="A67" s="397"/>
      <c r="B67" s="305"/>
      <c r="C67" s="305"/>
      <c r="D67" s="305"/>
      <c r="E67" s="305"/>
      <c r="F67" s="398"/>
      <c r="G67" s="398"/>
      <c r="H67" s="398"/>
      <c r="I67" s="398"/>
      <c r="K67" s="67"/>
      <c r="L67" s="67"/>
      <c r="M67" s="67"/>
      <c r="N67" s="67"/>
    </row>
    <row r="68">
      <c r="A68" s="397"/>
      <c r="B68" s="305"/>
      <c r="C68" s="305"/>
      <c r="D68" s="305"/>
      <c r="E68" s="305"/>
      <c r="F68" s="398"/>
      <c r="G68" s="398"/>
      <c r="H68" s="398"/>
      <c r="I68" s="398"/>
      <c r="K68" s="67"/>
      <c r="L68" s="67"/>
      <c r="M68" s="67"/>
      <c r="N68" s="67"/>
    </row>
    <row r="69">
      <c r="A69" s="397"/>
      <c r="B69" s="305"/>
      <c r="C69" s="305"/>
      <c r="D69" s="305"/>
      <c r="E69" s="305"/>
      <c r="F69" s="398"/>
      <c r="G69" s="398"/>
      <c r="H69" s="398"/>
      <c r="I69" s="398"/>
      <c r="K69" s="67"/>
      <c r="L69" s="67"/>
      <c r="M69" s="67"/>
      <c r="N69" s="67"/>
    </row>
    <row r="70">
      <c r="A70" s="397"/>
      <c r="B70" s="305"/>
      <c r="C70" s="305"/>
      <c r="D70" s="305"/>
      <c r="E70" s="305"/>
      <c r="F70" s="398"/>
      <c r="G70" s="398"/>
      <c r="H70" s="398"/>
      <c r="I70" s="398"/>
      <c r="K70" s="67"/>
      <c r="L70" s="67"/>
      <c r="M70" s="67"/>
      <c r="N70" s="67"/>
    </row>
    <row r="71">
      <c r="A71" s="397"/>
      <c r="B71" s="305"/>
      <c r="C71" s="305"/>
      <c r="D71" s="305"/>
      <c r="E71" s="305"/>
      <c r="F71" s="398"/>
      <c r="G71" s="398"/>
      <c r="H71" s="398"/>
      <c r="I71" s="398"/>
      <c r="K71" s="67"/>
      <c r="L71" s="67"/>
      <c r="M71" s="67"/>
      <c r="N71" s="67"/>
    </row>
    <row r="72">
      <c r="A72" s="397"/>
      <c r="B72" s="305"/>
      <c r="C72" s="305"/>
      <c r="D72" s="305"/>
      <c r="E72" s="305"/>
      <c r="F72" s="398"/>
      <c r="G72" s="398"/>
      <c r="H72" s="398"/>
      <c r="I72" s="398"/>
      <c r="K72" s="67"/>
      <c r="L72" s="67"/>
      <c r="M72" s="67"/>
      <c r="N72" s="67"/>
    </row>
    <row r="73">
      <c r="A73" s="397"/>
      <c r="B73" s="305"/>
      <c r="C73" s="305"/>
      <c r="D73" s="305"/>
      <c r="E73" s="305"/>
      <c r="F73" s="398"/>
      <c r="G73" s="398"/>
      <c r="H73" s="398"/>
      <c r="I73" s="398"/>
      <c r="K73" s="67"/>
      <c r="L73" s="67"/>
      <c r="M73" s="67"/>
      <c r="N73" s="67"/>
    </row>
    <row r="74">
      <c r="A74" s="397"/>
      <c r="B74" s="305"/>
      <c r="C74" s="305"/>
      <c r="D74" s="305"/>
      <c r="E74" s="305"/>
      <c r="F74" s="398"/>
      <c r="G74" s="398"/>
      <c r="H74" s="398"/>
      <c r="I74" s="398"/>
      <c r="K74" s="67"/>
      <c r="L74" s="67"/>
      <c r="M74" s="67"/>
      <c r="N74" s="67"/>
    </row>
    <row r="75">
      <c r="A75" s="397"/>
      <c r="B75" s="305"/>
      <c r="C75" s="305"/>
      <c r="D75" s="305"/>
      <c r="E75" s="305"/>
      <c r="F75" s="398"/>
      <c r="G75" s="398"/>
      <c r="H75" s="398"/>
      <c r="I75" s="398"/>
      <c r="K75" s="67"/>
      <c r="L75" s="67"/>
      <c r="M75" s="67"/>
      <c r="N75" s="67"/>
    </row>
    <row r="76">
      <c r="A76" s="397"/>
      <c r="B76" s="305"/>
      <c r="C76" s="305"/>
      <c r="D76" s="305"/>
      <c r="E76" s="305"/>
      <c r="F76" s="398"/>
      <c r="G76" s="398"/>
      <c r="H76" s="398"/>
      <c r="I76" s="398"/>
      <c r="K76" s="67"/>
      <c r="L76" s="67"/>
      <c r="M76" s="67"/>
      <c r="N76" s="67"/>
    </row>
    <row r="77">
      <c r="A77" s="397"/>
      <c r="B77" s="305"/>
      <c r="C77" s="305"/>
      <c r="D77" s="305"/>
      <c r="E77" s="305"/>
      <c r="F77" s="398"/>
      <c r="G77" s="398"/>
      <c r="H77" s="398"/>
      <c r="I77" s="398"/>
      <c r="K77" s="67"/>
      <c r="L77" s="67"/>
      <c r="M77" s="67"/>
      <c r="N77" s="67"/>
    </row>
    <row r="78">
      <c r="A78" s="397"/>
      <c r="B78" s="305"/>
      <c r="C78" s="305"/>
      <c r="D78" s="305"/>
      <c r="E78" s="305"/>
      <c r="F78" s="398"/>
      <c r="G78" s="398"/>
      <c r="H78" s="398"/>
      <c r="I78" s="398"/>
      <c r="K78" s="67"/>
      <c r="L78" s="67"/>
      <c r="M78" s="67"/>
      <c r="N78" s="67"/>
    </row>
    <row r="79">
      <c r="A79" s="397"/>
      <c r="B79" s="305"/>
      <c r="C79" s="305"/>
      <c r="D79" s="305"/>
      <c r="E79" s="305"/>
      <c r="F79" s="398"/>
      <c r="G79" s="398"/>
      <c r="H79" s="398"/>
      <c r="I79" s="398"/>
      <c r="K79" s="67"/>
      <c r="L79" s="67"/>
      <c r="M79" s="67"/>
      <c r="N79" s="67"/>
    </row>
    <row r="80">
      <c r="A80" s="397"/>
      <c r="B80" s="305"/>
      <c r="C80" s="305"/>
      <c r="D80" s="305"/>
      <c r="E80" s="305"/>
      <c r="F80" s="398"/>
      <c r="G80" s="398"/>
      <c r="H80" s="398"/>
      <c r="I80" s="398"/>
      <c r="K80" s="67"/>
      <c r="L80" s="67"/>
      <c r="M80" s="67"/>
      <c r="N80" s="67"/>
    </row>
    <row r="81">
      <c r="A81" s="397"/>
      <c r="B81" s="305"/>
      <c r="C81" s="305"/>
      <c r="D81" s="305"/>
      <c r="E81" s="305"/>
      <c r="F81" s="398"/>
      <c r="G81" s="398"/>
      <c r="H81" s="398"/>
      <c r="I81" s="398"/>
      <c r="K81" s="67"/>
      <c r="L81" s="67"/>
      <c r="M81" s="67"/>
      <c r="N81" s="67"/>
    </row>
    <row r="82">
      <c r="A82" s="397"/>
      <c r="B82" s="305"/>
      <c r="C82" s="305"/>
      <c r="D82" s="305"/>
      <c r="E82" s="305"/>
      <c r="F82" s="398"/>
      <c r="G82" s="398"/>
      <c r="H82" s="398"/>
      <c r="I82" s="398"/>
      <c r="K82" s="67"/>
      <c r="L82" s="67"/>
      <c r="M82" s="67"/>
      <c r="N82" s="67"/>
    </row>
    <row r="83">
      <c r="A83" s="397"/>
      <c r="B83" s="305"/>
      <c r="C83" s="305"/>
      <c r="D83" s="305"/>
      <c r="E83" s="305"/>
      <c r="F83" s="398"/>
      <c r="G83" s="398"/>
      <c r="H83" s="398"/>
      <c r="I83" s="398"/>
      <c r="K83" s="67"/>
      <c r="L83" s="67"/>
      <c r="M83" s="67"/>
      <c r="N83" s="67"/>
    </row>
    <row r="84">
      <c r="A84" s="397"/>
      <c r="B84" s="305"/>
      <c r="C84" s="305"/>
      <c r="D84" s="305"/>
      <c r="E84" s="305"/>
      <c r="F84" s="398"/>
      <c r="G84" s="398"/>
      <c r="H84" s="398"/>
      <c r="I84" s="398"/>
      <c r="K84" s="67"/>
      <c r="L84" s="67"/>
      <c r="M84" s="67"/>
      <c r="N84" s="67"/>
    </row>
    <row r="85">
      <c r="A85" s="397"/>
      <c r="B85" s="305"/>
      <c r="C85" s="305"/>
      <c r="D85" s="305"/>
      <c r="E85" s="305"/>
      <c r="F85" s="398"/>
      <c r="G85" s="398"/>
      <c r="H85" s="398"/>
      <c r="I85" s="398"/>
      <c r="K85" s="67"/>
      <c r="L85" s="67"/>
      <c r="M85" s="67"/>
      <c r="N85" s="67"/>
    </row>
    <row r="86">
      <c r="A86" s="397"/>
      <c r="B86" s="305"/>
      <c r="C86" s="305"/>
      <c r="D86" s="305"/>
      <c r="E86" s="305"/>
      <c r="F86" s="398"/>
      <c r="G86" s="398"/>
      <c r="H86" s="398"/>
      <c r="I86" s="398"/>
      <c r="K86" s="67"/>
      <c r="L86" s="67"/>
      <c r="M86" s="67"/>
      <c r="N86" s="67"/>
    </row>
    <row r="87">
      <c r="A87" s="397"/>
      <c r="B87" s="305"/>
      <c r="C87" s="305"/>
      <c r="D87" s="305"/>
      <c r="E87" s="305"/>
      <c r="F87" s="398"/>
      <c r="G87" s="398"/>
      <c r="H87" s="398"/>
      <c r="I87" s="398"/>
      <c r="K87" s="67"/>
      <c r="L87" s="67"/>
      <c r="M87" s="67"/>
      <c r="N87" s="67"/>
    </row>
    <row r="88">
      <c r="A88" s="397"/>
      <c r="B88" s="305"/>
      <c r="C88" s="305"/>
      <c r="D88" s="305"/>
      <c r="E88" s="305"/>
      <c r="F88" s="398"/>
      <c r="G88" s="398"/>
      <c r="H88" s="398"/>
      <c r="I88" s="398"/>
      <c r="K88" s="67"/>
      <c r="L88" s="67"/>
      <c r="M88" s="67"/>
      <c r="N88" s="67"/>
    </row>
    <row r="89">
      <c r="A89" s="397"/>
      <c r="B89" s="305"/>
      <c r="C89" s="305"/>
      <c r="D89" s="305"/>
      <c r="E89" s="305"/>
      <c r="F89" s="398"/>
      <c r="G89" s="398"/>
      <c r="H89" s="398"/>
      <c r="I89" s="398"/>
      <c r="K89" s="67"/>
      <c r="L89" s="67"/>
      <c r="M89" s="67"/>
      <c r="N89" s="67"/>
    </row>
    <row r="90">
      <c r="A90" s="397"/>
      <c r="B90" s="305"/>
      <c r="C90" s="305"/>
      <c r="D90" s="305"/>
      <c r="E90" s="305"/>
      <c r="F90" s="398"/>
      <c r="G90" s="398"/>
      <c r="H90" s="398"/>
      <c r="I90" s="398"/>
      <c r="K90" s="67"/>
      <c r="L90" s="67"/>
      <c r="M90" s="67"/>
      <c r="N90" s="67"/>
    </row>
    <row r="91">
      <c r="A91" s="397"/>
      <c r="B91" s="305"/>
      <c r="C91" s="305"/>
      <c r="D91" s="305"/>
      <c r="E91" s="305"/>
      <c r="F91" s="398"/>
      <c r="G91" s="398"/>
      <c r="H91" s="398"/>
      <c r="I91" s="398"/>
      <c r="K91" s="67"/>
      <c r="L91" s="67"/>
      <c r="M91" s="67"/>
      <c r="N91" s="67"/>
    </row>
    <row r="92">
      <c r="A92" s="397"/>
      <c r="B92" s="305"/>
      <c r="C92" s="305"/>
      <c r="D92" s="305"/>
      <c r="E92" s="305"/>
      <c r="F92" s="398"/>
      <c r="G92" s="398"/>
      <c r="H92" s="398"/>
      <c r="I92" s="398"/>
      <c r="K92" s="67"/>
      <c r="L92" s="67"/>
      <c r="M92" s="67"/>
      <c r="N92" s="67"/>
    </row>
    <row r="93">
      <c r="A93" s="397"/>
      <c r="B93" s="305"/>
      <c r="C93" s="305"/>
      <c r="D93" s="305"/>
      <c r="E93" s="305"/>
      <c r="F93" s="398"/>
      <c r="G93" s="398"/>
      <c r="H93" s="398"/>
      <c r="I93" s="398"/>
      <c r="K93" s="67"/>
      <c r="L93" s="67"/>
      <c r="M93" s="67"/>
      <c r="N93" s="67"/>
    </row>
    <row r="94">
      <c r="A94" s="397"/>
      <c r="B94" s="305"/>
      <c r="C94" s="305"/>
      <c r="D94" s="305"/>
      <c r="E94" s="305"/>
      <c r="F94" s="398"/>
      <c r="G94" s="398"/>
      <c r="H94" s="398"/>
      <c r="I94" s="398"/>
      <c r="K94" s="67"/>
      <c r="L94" s="67"/>
      <c r="M94" s="67"/>
      <c r="N94" s="67"/>
    </row>
    <row r="95">
      <c r="A95" s="397"/>
      <c r="B95" s="305"/>
      <c r="C95" s="305"/>
      <c r="D95" s="305"/>
      <c r="E95" s="305"/>
      <c r="F95" s="398"/>
      <c r="G95" s="398"/>
      <c r="H95" s="398"/>
      <c r="I95" s="398"/>
      <c r="K95" s="67"/>
      <c r="L95" s="67"/>
      <c r="M95" s="67"/>
      <c r="N95" s="67"/>
    </row>
    <row r="96">
      <c r="A96" s="397"/>
      <c r="B96" s="305"/>
      <c r="C96" s="305"/>
      <c r="D96" s="305"/>
      <c r="E96" s="305"/>
      <c r="F96" s="398"/>
      <c r="G96" s="398"/>
      <c r="H96" s="398"/>
      <c r="I96" s="398"/>
      <c r="K96" s="67"/>
      <c r="L96" s="67"/>
      <c r="M96" s="67"/>
      <c r="N96" s="67"/>
    </row>
    <row r="97">
      <c r="A97" s="397"/>
      <c r="B97" s="305"/>
      <c r="C97" s="305"/>
      <c r="D97" s="305"/>
      <c r="E97" s="305"/>
      <c r="F97" s="398"/>
      <c r="G97" s="398"/>
      <c r="H97" s="398"/>
      <c r="I97" s="398"/>
      <c r="K97" s="67"/>
      <c r="L97" s="67"/>
      <c r="M97" s="67"/>
      <c r="N97" s="67"/>
    </row>
    <row r="98">
      <c r="A98" s="397"/>
      <c r="B98" s="305"/>
      <c r="C98" s="305"/>
      <c r="D98" s="305"/>
      <c r="E98" s="305"/>
      <c r="F98" s="398"/>
      <c r="G98" s="398"/>
      <c r="H98" s="398"/>
      <c r="I98" s="398"/>
      <c r="K98" s="67"/>
      <c r="L98" s="67"/>
      <c r="M98" s="67"/>
      <c r="N98" s="67"/>
    </row>
    <row r="99">
      <c r="A99" s="397"/>
      <c r="B99" s="305"/>
      <c r="C99" s="305"/>
      <c r="D99" s="305"/>
      <c r="E99" s="305"/>
      <c r="F99" s="398"/>
      <c r="G99" s="398"/>
      <c r="H99" s="398"/>
      <c r="I99" s="398"/>
      <c r="K99" s="67"/>
      <c r="L99" s="67"/>
      <c r="M99" s="67"/>
      <c r="N99" s="67"/>
    </row>
    <row r="100">
      <c r="A100" s="397"/>
      <c r="B100" s="305"/>
      <c r="C100" s="305"/>
      <c r="D100" s="305"/>
      <c r="E100" s="305"/>
      <c r="F100" s="398"/>
      <c r="G100" s="398"/>
      <c r="H100" s="398"/>
      <c r="I100" s="398"/>
      <c r="K100" s="67"/>
      <c r="L100" s="67"/>
      <c r="M100" s="67"/>
      <c r="N100" s="67"/>
    </row>
    <row r="101">
      <c r="A101" s="397"/>
      <c r="B101" s="305"/>
      <c r="C101" s="305"/>
      <c r="D101" s="305"/>
      <c r="E101" s="305"/>
      <c r="F101" s="398"/>
      <c r="G101" s="398"/>
      <c r="H101" s="398"/>
      <c r="I101" s="398"/>
      <c r="K101" s="67"/>
      <c r="L101" s="67"/>
      <c r="M101" s="67"/>
      <c r="N101" s="67"/>
    </row>
    <row r="102">
      <c r="A102" s="397"/>
      <c r="B102" s="305"/>
      <c r="C102" s="305"/>
      <c r="D102" s="305"/>
      <c r="E102" s="305"/>
      <c r="F102" s="398"/>
      <c r="G102" s="398"/>
      <c r="H102" s="398"/>
      <c r="I102" s="398"/>
      <c r="K102" s="67"/>
      <c r="L102" s="67"/>
      <c r="M102" s="67"/>
      <c r="N102" s="67"/>
    </row>
    <row r="103">
      <c r="A103" s="397"/>
      <c r="B103" s="305"/>
      <c r="C103" s="305"/>
      <c r="D103" s="305"/>
      <c r="E103" s="305"/>
      <c r="F103" s="398"/>
      <c r="G103" s="398"/>
      <c r="H103" s="398"/>
      <c r="I103" s="398"/>
      <c r="K103" s="67"/>
      <c r="L103" s="67"/>
      <c r="M103" s="67"/>
      <c r="N103" s="67"/>
    </row>
    <row r="104">
      <c r="A104" s="397"/>
      <c r="B104" s="305"/>
      <c r="C104" s="305"/>
      <c r="D104" s="305"/>
      <c r="E104" s="305"/>
      <c r="F104" s="398"/>
      <c r="G104" s="398"/>
      <c r="H104" s="398"/>
      <c r="I104" s="398"/>
      <c r="K104" s="67"/>
      <c r="L104" s="67"/>
      <c r="M104" s="67"/>
      <c r="N104" s="67"/>
    </row>
    <row r="105">
      <c r="A105" s="397"/>
      <c r="B105" s="305"/>
      <c r="C105" s="305"/>
      <c r="D105" s="305"/>
      <c r="E105" s="305"/>
      <c r="F105" s="398"/>
      <c r="G105" s="398"/>
      <c r="H105" s="398"/>
      <c r="I105" s="398"/>
      <c r="K105" s="67"/>
      <c r="L105" s="67"/>
      <c r="M105" s="67"/>
      <c r="N105" s="67"/>
    </row>
    <row r="106">
      <c r="A106" s="397"/>
      <c r="B106" s="305"/>
      <c r="C106" s="305"/>
      <c r="D106" s="305"/>
      <c r="E106" s="305"/>
      <c r="F106" s="398"/>
      <c r="G106" s="398"/>
      <c r="H106" s="398"/>
      <c r="I106" s="398"/>
      <c r="K106" s="67"/>
      <c r="L106" s="67"/>
      <c r="M106" s="67"/>
      <c r="N106" s="67"/>
    </row>
    <row r="107">
      <c r="A107" s="397"/>
      <c r="B107" s="305"/>
      <c r="C107" s="305"/>
      <c r="D107" s="305"/>
      <c r="E107" s="305"/>
      <c r="F107" s="398"/>
      <c r="G107" s="398"/>
      <c r="H107" s="398"/>
      <c r="I107" s="398"/>
      <c r="K107" s="67"/>
      <c r="L107" s="67"/>
      <c r="M107" s="67"/>
      <c r="N107" s="67"/>
    </row>
    <row r="108">
      <c r="A108" s="397"/>
      <c r="B108" s="305"/>
      <c r="C108" s="305"/>
      <c r="D108" s="305"/>
      <c r="E108" s="305"/>
      <c r="F108" s="398"/>
      <c r="G108" s="398"/>
      <c r="H108" s="398"/>
      <c r="I108" s="398"/>
      <c r="K108" s="67"/>
      <c r="L108" s="67"/>
      <c r="M108" s="67"/>
      <c r="N108" s="67"/>
    </row>
    <row r="109">
      <c r="A109" s="397"/>
      <c r="B109" s="305"/>
      <c r="C109" s="305"/>
      <c r="D109" s="305"/>
      <c r="E109" s="305"/>
      <c r="F109" s="398"/>
      <c r="G109" s="398"/>
      <c r="H109" s="398"/>
      <c r="I109" s="398"/>
      <c r="K109" s="67"/>
      <c r="L109" s="67"/>
      <c r="M109" s="67"/>
      <c r="N109" s="67"/>
    </row>
    <row r="110">
      <c r="A110" s="397"/>
      <c r="B110" s="305"/>
      <c r="C110" s="305"/>
      <c r="D110" s="305"/>
      <c r="E110" s="305"/>
      <c r="F110" s="398"/>
      <c r="G110" s="398"/>
      <c r="H110" s="398"/>
      <c r="I110" s="398"/>
      <c r="K110" s="67"/>
      <c r="L110" s="67"/>
      <c r="M110" s="67"/>
      <c r="N110" s="67"/>
    </row>
    <row r="111">
      <c r="A111" s="397"/>
      <c r="B111" s="305"/>
      <c r="C111" s="305"/>
      <c r="D111" s="305"/>
      <c r="E111" s="305"/>
      <c r="F111" s="398"/>
      <c r="G111" s="398"/>
      <c r="H111" s="398"/>
      <c r="I111" s="398"/>
      <c r="K111" s="67"/>
      <c r="L111" s="67"/>
      <c r="M111" s="67"/>
      <c r="N111" s="67"/>
    </row>
    <row r="112">
      <c r="A112" s="397"/>
      <c r="B112" s="305"/>
      <c r="C112" s="305"/>
      <c r="D112" s="305"/>
      <c r="E112" s="305"/>
      <c r="F112" s="398"/>
      <c r="G112" s="398"/>
      <c r="H112" s="398"/>
      <c r="I112" s="398"/>
      <c r="K112" s="67"/>
      <c r="L112" s="67"/>
      <c r="M112" s="67"/>
      <c r="N112" s="67"/>
    </row>
    <row r="113">
      <c r="A113" s="397"/>
      <c r="B113" s="305"/>
      <c r="C113" s="305"/>
      <c r="D113" s="305"/>
      <c r="E113" s="305"/>
      <c r="F113" s="398"/>
      <c r="G113" s="398"/>
      <c r="H113" s="398"/>
      <c r="I113" s="398"/>
      <c r="K113" s="67"/>
      <c r="L113" s="67"/>
      <c r="M113" s="67"/>
      <c r="N113" s="67"/>
    </row>
    <row r="114">
      <c r="A114" s="397"/>
      <c r="B114" s="305"/>
      <c r="C114" s="305"/>
      <c r="D114" s="305"/>
      <c r="E114" s="305"/>
      <c r="F114" s="398"/>
      <c r="G114" s="398"/>
      <c r="H114" s="398"/>
      <c r="I114" s="398"/>
      <c r="K114" s="67"/>
      <c r="L114" s="67"/>
      <c r="M114" s="67"/>
      <c r="N114" s="67"/>
    </row>
    <row r="115">
      <c r="A115" s="397"/>
      <c r="B115" s="305"/>
      <c r="C115" s="305"/>
      <c r="D115" s="305"/>
      <c r="E115" s="305"/>
      <c r="F115" s="398"/>
      <c r="G115" s="398"/>
      <c r="H115" s="398"/>
      <c r="I115" s="398"/>
      <c r="K115" s="67"/>
      <c r="L115" s="67"/>
      <c r="M115" s="67"/>
      <c r="N115" s="67"/>
    </row>
    <row r="116">
      <c r="A116" s="397"/>
      <c r="B116" s="305"/>
      <c r="C116" s="305"/>
      <c r="D116" s="305"/>
      <c r="E116" s="305"/>
      <c r="F116" s="398"/>
      <c r="G116" s="398"/>
      <c r="H116" s="398"/>
      <c r="I116" s="398"/>
      <c r="K116" s="67"/>
      <c r="L116" s="67"/>
      <c r="M116" s="67"/>
      <c r="N116" s="67"/>
    </row>
    <row r="117">
      <c r="A117" s="397"/>
      <c r="B117" s="305"/>
      <c r="C117" s="305"/>
      <c r="D117" s="305"/>
      <c r="E117" s="305"/>
      <c r="F117" s="398"/>
      <c r="G117" s="398"/>
      <c r="H117" s="398"/>
      <c r="I117" s="398"/>
      <c r="K117" s="67"/>
      <c r="L117" s="67"/>
      <c r="M117" s="67"/>
      <c r="N117" s="67"/>
    </row>
    <row r="118">
      <c r="A118" s="397"/>
      <c r="B118" s="305"/>
      <c r="C118" s="305"/>
      <c r="D118" s="305"/>
      <c r="E118" s="305"/>
      <c r="F118" s="398"/>
      <c r="G118" s="398"/>
      <c r="H118" s="398"/>
      <c r="I118" s="398"/>
      <c r="K118" s="67"/>
      <c r="L118" s="67"/>
      <c r="M118" s="67"/>
      <c r="N118" s="67"/>
    </row>
    <row r="119">
      <c r="A119" s="397"/>
      <c r="B119" s="305"/>
      <c r="C119" s="305"/>
      <c r="D119" s="305"/>
      <c r="E119" s="305"/>
      <c r="F119" s="398"/>
      <c r="G119" s="398"/>
      <c r="H119" s="398"/>
      <c r="I119" s="398"/>
      <c r="K119" s="67"/>
      <c r="L119" s="67"/>
      <c r="M119" s="67"/>
      <c r="N119" s="67"/>
    </row>
    <row r="120">
      <c r="A120" s="397"/>
      <c r="B120" s="305"/>
      <c r="C120" s="305"/>
      <c r="D120" s="305"/>
      <c r="E120" s="305"/>
      <c r="F120" s="398"/>
      <c r="G120" s="398"/>
      <c r="H120" s="398"/>
      <c r="I120" s="398"/>
      <c r="K120" s="67"/>
      <c r="L120" s="67"/>
      <c r="M120" s="67"/>
      <c r="N120" s="67"/>
    </row>
    <row r="121">
      <c r="A121" s="397"/>
      <c r="B121" s="305"/>
      <c r="C121" s="305"/>
      <c r="D121" s="305"/>
      <c r="E121" s="305"/>
      <c r="F121" s="398"/>
      <c r="G121" s="398"/>
      <c r="H121" s="398"/>
      <c r="I121" s="398"/>
      <c r="K121" s="67"/>
      <c r="L121" s="67"/>
      <c r="M121" s="67"/>
      <c r="N121" s="67"/>
    </row>
    <row r="122">
      <c r="A122" s="397"/>
      <c r="B122" s="305"/>
      <c r="C122" s="305"/>
      <c r="D122" s="305"/>
      <c r="E122" s="305"/>
      <c r="F122" s="398"/>
      <c r="G122" s="398"/>
      <c r="H122" s="398"/>
      <c r="I122" s="398"/>
      <c r="K122" s="67"/>
      <c r="L122" s="67"/>
      <c r="M122" s="67"/>
      <c r="N122" s="67"/>
    </row>
    <row r="123">
      <c r="A123" s="397"/>
      <c r="B123" s="305"/>
      <c r="C123" s="305"/>
      <c r="D123" s="305"/>
      <c r="E123" s="305"/>
      <c r="F123" s="398"/>
      <c r="G123" s="398"/>
      <c r="H123" s="398"/>
      <c r="I123" s="398"/>
      <c r="K123" s="67"/>
      <c r="L123" s="67"/>
      <c r="M123" s="67"/>
      <c r="N123" s="67"/>
    </row>
    <row r="124">
      <c r="A124" s="397"/>
      <c r="B124" s="305"/>
      <c r="C124" s="305"/>
      <c r="D124" s="305"/>
      <c r="E124" s="305"/>
      <c r="F124" s="398"/>
      <c r="G124" s="398"/>
      <c r="H124" s="398"/>
      <c r="I124" s="398"/>
      <c r="K124" s="67"/>
      <c r="L124" s="67"/>
      <c r="M124" s="67"/>
      <c r="N124" s="67"/>
    </row>
    <row r="125">
      <c r="A125" s="397"/>
      <c r="B125" s="305"/>
      <c r="C125" s="305"/>
      <c r="D125" s="305"/>
      <c r="E125" s="305"/>
      <c r="F125" s="398"/>
      <c r="G125" s="398"/>
      <c r="H125" s="398"/>
      <c r="I125" s="398"/>
      <c r="K125" s="67"/>
      <c r="L125" s="67"/>
      <c r="M125" s="67"/>
      <c r="N125" s="67"/>
    </row>
    <row r="126">
      <c r="A126" s="397"/>
      <c r="B126" s="305"/>
      <c r="C126" s="305"/>
      <c r="D126" s="305"/>
      <c r="E126" s="305"/>
      <c r="F126" s="398"/>
      <c r="G126" s="398"/>
      <c r="H126" s="398"/>
      <c r="I126" s="398"/>
      <c r="K126" s="67"/>
      <c r="L126" s="67"/>
      <c r="M126" s="67"/>
      <c r="N126" s="67"/>
    </row>
    <row r="127">
      <c r="A127" s="397"/>
      <c r="B127" s="305"/>
      <c r="C127" s="305"/>
      <c r="D127" s="305"/>
      <c r="E127" s="305"/>
      <c r="F127" s="398"/>
      <c r="G127" s="398"/>
      <c r="H127" s="398"/>
      <c r="I127" s="398"/>
      <c r="K127" s="67"/>
      <c r="L127" s="67"/>
      <c r="M127" s="67"/>
      <c r="N127" s="67"/>
    </row>
    <row r="128">
      <c r="A128" s="397"/>
      <c r="B128" s="305"/>
      <c r="C128" s="305"/>
      <c r="D128" s="305"/>
      <c r="E128" s="305"/>
      <c r="F128" s="398"/>
      <c r="G128" s="398"/>
      <c r="H128" s="398"/>
      <c r="I128" s="398"/>
      <c r="K128" s="67"/>
      <c r="L128" s="67"/>
      <c r="M128" s="67"/>
      <c r="N128" s="67"/>
    </row>
    <row r="129">
      <c r="A129" s="397"/>
      <c r="B129" s="305"/>
      <c r="C129" s="305"/>
      <c r="D129" s="305"/>
      <c r="E129" s="305"/>
      <c r="F129" s="398"/>
      <c r="G129" s="398"/>
      <c r="H129" s="398"/>
      <c r="I129" s="398"/>
      <c r="K129" s="67"/>
      <c r="L129" s="67"/>
      <c r="M129" s="67"/>
      <c r="N129" s="67"/>
    </row>
    <row r="130">
      <c r="A130" s="397"/>
      <c r="B130" s="305"/>
      <c r="C130" s="305"/>
      <c r="D130" s="305"/>
      <c r="E130" s="305"/>
      <c r="F130" s="398"/>
      <c r="G130" s="398"/>
      <c r="H130" s="398"/>
      <c r="I130" s="398"/>
      <c r="K130" s="67"/>
      <c r="L130" s="67"/>
      <c r="M130" s="67"/>
      <c r="N130" s="67"/>
    </row>
    <row r="131">
      <c r="A131" s="397"/>
      <c r="B131" s="305"/>
      <c r="C131" s="305"/>
      <c r="D131" s="305"/>
      <c r="E131" s="305"/>
      <c r="F131" s="398"/>
      <c r="G131" s="398"/>
      <c r="H131" s="398"/>
      <c r="I131" s="398"/>
      <c r="K131" s="67"/>
      <c r="L131" s="67"/>
      <c r="M131" s="67"/>
      <c r="N131" s="67"/>
    </row>
    <row r="132">
      <c r="A132" s="397"/>
      <c r="B132" s="305"/>
      <c r="C132" s="305"/>
      <c r="D132" s="305"/>
      <c r="E132" s="305"/>
      <c r="F132" s="398"/>
      <c r="G132" s="398"/>
      <c r="H132" s="398"/>
      <c r="I132" s="398"/>
      <c r="K132" s="67"/>
      <c r="L132" s="67"/>
      <c r="M132" s="67"/>
      <c r="N132" s="67"/>
    </row>
    <row r="133">
      <c r="A133" s="397"/>
      <c r="B133" s="305"/>
      <c r="C133" s="305"/>
      <c r="D133" s="305"/>
      <c r="E133" s="305"/>
      <c r="F133" s="398"/>
      <c r="G133" s="398"/>
      <c r="H133" s="398"/>
      <c r="I133" s="398"/>
      <c r="K133" s="67"/>
      <c r="L133" s="67"/>
      <c r="M133" s="67"/>
      <c r="N133" s="67"/>
    </row>
    <row r="134">
      <c r="A134" s="397"/>
      <c r="B134" s="305"/>
      <c r="C134" s="305"/>
      <c r="D134" s="305"/>
      <c r="E134" s="305"/>
      <c r="F134" s="398"/>
      <c r="G134" s="398"/>
      <c r="H134" s="398"/>
      <c r="I134" s="398"/>
      <c r="K134" s="67"/>
      <c r="L134" s="67"/>
      <c r="M134" s="67"/>
      <c r="N134" s="67"/>
    </row>
    <row r="135">
      <c r="A135" s="397"/>
      <c r="B135" s="305"/>
      <c r="C135" s="305"/>
      <c r="D135" s="305"/>
      <c r="E135" s="305"/>
      <c r="F135" s="398"/>
      <c r="G135" s="398"/>
      <c r="H135" s="398"/>
      <c r="I135" s="398"/>
      <c r="K135" s="67"/>
      <c r="L135" s="67"/>
      <c r="M135" s="67"/>
      <c r="N135" s="67"/>
    </row>
    <row r="136">
      <c r="A136" s="397"/>
      <c r="B136" s="305"/>
      <c r="C136" s="305"/>
      <c r="D136" s="305"/>
      <c r="E136" s="305"/>
      <c r="F136" s="398"/>
      <c r="G136" s="398"/>
      <c r="H136" s="398"/>
      <c r="I136" s="398"/>
      <c r="K136" s="67"/>
      <c r="L136" s="67"/>
      <c r="M136" s="67"/>
      <c r="N136" s="67"/>
    </row>
    <row r="137">
      <c r="A137" s="397"/>
      <c r="B137" s="305"/>
      <c r="C137" s="305"/>
      <c r="D137" s="305"/>
      <c r="E137" s="305"/>
      <c r="F137" s="398"/>
      <c r="G137" s="398"/>
      <c r="H137" s="398"/>
      <c r="I137" s="398"/>
      <c r="K137" s="67"/>
      <c r="L137" s="67"/>
      <c r="M137" s="67"/>
      <c r="N137" s="67"/>
    </row>
    <row r="138">
      <c r="A138" s="397"/>
      <c r="B138" s="305"/>
      <c r="C138" s="305"/>
      <c r="D138" s="305"/>
      <c r="E138" s="305"/>
      <c r="F138" s="398"/>
      <c r="G138" s="398"/>
      <c r="H138" s="398"/>
      <c r="I138" s="398"/>
      <c r="K138" s="67"/>
      <c r="L138" s="67"/>
      <c r="M138" s="67"/>
      <c r="N138" s="67"/>
    </row>
    <row r="139">
      <c r="A139" s="397"/>
      <c r="B139" s="305"/>
      <c r="C139" s="305"/>
      <c r="D139" s="305"/>
      <c r="E139" s="305"/>
      <c r="F139" s="398"/>
      <c r="G139" s="398"/>
      <c r="H139" s="398"/>
      <c r="I139" s="398"/>
      <c r="K139" s="67"/>
      <c r="L139" s="67"/>
      <c r="M139" s="67"/>
      <c r="N139" s="67"/>
    </row>
    <row r="140">
      <c r="A140" s="397"/>
      <c r="B140" s="305"/>
      <c r="C140" s="305"/>
      <c r="D140" s="305"/>
      <c r="E140" s="305"/>
      <c r="F140" s="398"/>
      <c r="G140" s="398"/>
      <c r="H140" s="398"/>
      <c r="I140" s="398"/>
      <c r="K140" s="67"/>
      <c r="L140" s="67"/>
      <c r="M140" s="67"/>
      <c r="N140" s="67"/>
    </row>
    <row r="141">
      <c r="A141" s="397"/>
      <c r="B141" s="305"/>
      <c r="C141" s="305"/>
      <c r="D141" s="305"/>
      <c r="E141" s="305"/>
      <c r="F141" s="398"/>
      <c r="G141" s="398"/>
      <c r="H141" s="398"/>
      <c r="I141" s="398"/>
      <c r="K141" s="67"/>
      <c r="L141" s="67"/>
      <c r="M141" s="67"/>
      <c r="N141" s="67"/>
    </row>
    <row r="142">
      <c r="A142" s="397"/>
      <c r="B142" s="305"/>
      <c r="C142" s="305"/>
      <c r="D142" s="305"/>
      <c r="E142" s="305"/>
      <c r="F142" s="398"/>
      <c r="G142" s="398"/>
      <c r="H142" s="398"/>
      <c r="I142" s="398"/>
      <c r="K142" s="67"/>
      <c r="L142" s="67"/>
      <c r="M142" s="67"/>
      <c r="N142" s="67"/>
    </row>
    <row r="143">
      <c r="A143" s="397"/>
      <c r="B143" s="305"/>
      <c r="C143" s="305"/>
      <c r="D143" s="305"/>
      <c r="E143" s="305"/>
      <c r="F143" s="398"/>
      <c r="G143" s="398"/>
      <c r="H143" s="398"/>
      <c r="I143" s="398"/>
      <c r="K143" s="67"/>
      <c r="L143" s="67"/>
      <c r="M143" s="67"/>
      <c r="N143" s="67"/>
    </row>
    <row r="144">
      <c r="A144" s="397"/>
      <c r="B144" s="305"/>
      <c r="C144" s="305"/>
      <c r="D144" s="305"/>
      <c r="E144" s="305"/>
      <c r="F144" s="398"/>
      <c r="G144" s="398"/>
      <c r="H144" s="398"/>
      <c r="I144" s="398"/>
      <c r="K144" s="67"/>
      <c r="L144" s="67"/>
      <c r="M144" s="67"/>
      <c r="N144" s="67"/>
    </row>
    <row r="145">
      <c r="A145" s="397"/>
      <c r="B145" s="305"/>
      <c r="C145" s="305"/>
      <c r="D145" s="305"/>
      <c r="E145" s="305"/>
      <c r="F145" s="398"/>
      <c r="G145" s="398"/>
      <c r="H145" s="398"/>
      <c r="I145" s="398"/>
      <c r="K145" s="67"/>
      <c r="L145" s="67"/>
      <c r="M145" s="67"/>
      <c r="N145" s="67"/>
    </row>
    <row r="146">
      <c r="A146" s="397"/>
      <c r="B146" s="305"/>
      <c r="C146" s="305"/>
      <c r="D146" s="305"/>
      <c r="E146" s="305"/>
      <c r="F146" s="398"/>
      <c r="G146" s="398"/>
      <c r="H146" s="398"/>
      <c r="I146" s="398"/>
      <c r="K146" s="67"/>
      <c r="L146" s="67"/>
      <c r="M146" s="67"/>
      <c r="N146" s="67"/>
    </row>
    <row r="147">
      <c r="A147" s="397"/>
      <c r="B147" s="305"/>
      <c r="C147" s="305"/>
      <c r="D147" s="305"/>
      <c r="E147" s="305"/>
      <c r="F147" s="398"/>
      <c r="G147" s="398"/>
      <c r="H147" s="398"/>
      <c r="I147" s="398"/>
      <c r="K147" s="67"/>
      <c r="L147" s="67"/>
      <c r="M147" s="67"/>
      <c r="N147" s="67"/>
    </row>
    <row r="148">
      <c r="A148" s="397"/>
      <c r="B148" s="305"/>
      <c r="C148" s="305"/>
      <c r="D148" s="305"/>
      <c r="E148" s="305"/>
      <c r="F148" s="398"/>
      <c r="G148" s="398"/>
      <c r="H148" s="398"/>
      <c r="I148" s="398"/>
      <c r="K148" s="67"/>
      <c r="L148" s="67"/>
      <c r="M148" s="67"/>
      <c r="N148" s="67"/>
    </row>
    <row r="149">
      <c r="A149" s="397"/>
      <c r="B149" s="305"/>
      <c r="C149" s="305"/>
      <c r="D149" s="305"/>
      <c r="E149" s="305"/>
      <c r="F149" s="398"/>
      <c r="G149" s="398"/>
      <c r="H149" s="398"/>
      <c r="I149" s="398"/>
      <c r="K149" s="67"/>
      <c r="L149" s="67"/>
      <c r="M149" s="67"/>
      <c r="N149" s="67"/>
    </row>
    <row r="150">
      <c r="A150" s="397"/>
      <c r="B150" s="305"/>
      <c r="C150" s="305"/>
      <c r="D150" s="305"/>
      <c r="E150" s="305"/>
      <c r="F150" s="398"/>
      <c r="G150" s="398"/>
      <c r="H150" s="398"/>
      <c r="I150" s="398"/>
      <c r="K150" s="67"/>
      <c r="L150" s="67"/>
      <c r="M150" s="67"/>
      <c r="N150" s="67"/>
    </row>
    <row r="151">
      <c r="A151" s="397"/>
      <c r="B151" s="305"/>
      <c r="C151" s="305"/>
      <c r="D151" s="305"/>
      <c r="E151" s="305"/>
      <c r="F151" s="398"/>
      <c r="G151" s="398"/>
      <c r="H151" s="398"/>
      <c r="I151" s="398"/>
      <c r="K151" s="67"/>
      <c r="L151" s="67"/>
      <c r="M151" s="67"/>
      <c r="N151" s="67"/>
    </row>
    <row r="152">
      <c r="A152" s="397"/>
      <c r="B152" s="305"/>
      <c r="C152" s="305"/>
      <c r="D152" s="305"/>
      <c r="E152" s="305"/>
      <c r="F152" s="398"/>
      <c r="G152" s="398"/>
      <c r="H152" s="398"/>
      <c r="I152" s="398"/>
      <c r="K152" s="67"/>
      <c r="L152" s="67"/>
      <c r="M152" s="67"/>
      <c r="N152" s="67"/>
    </row>
    <row r="153">
      <c r="A153" s="397"/>
      <c r="B153" s="305"/>
      <c r="C153" s="305"/>
      <c r="D153" s="305"/>
      <c r="E153" s="305"/>
      <c r="F153" s="398"/>
      <c r="G153" s="398"/>
      <c r="H153" s="398"/>
      <c r="I153" s="398"/>
      <c r="K153" s="67"/>
      <c r="L153" s="67"/>
      <c r="M153" s="67"/>
      <c r="N153" s="67"/>
    </row>
    <row r="154">
      <c r="A154" s="397"/>
      <c r="B154" s="305"/>
      <c r="C154" s="305"/>
      <c r="D154" s="305"/>
      <c r="E154" s="305"/>
      <c r="F154" s="398"/>
      <c r="G154" s="398"/>
      <c r="H154" s="398"/>
      <c r="I154" s="398"/>
      <c r="K154" s="67"/>
      <c r="L154" s="67"/>
      <c r="M154" s="67"/>
      <c r="N154" s="67"/>
    </row>
    <row r="155">
      <c r="A155" s="397"/>
      <c r="B155" s="305"/>
      <c r="C155" s="305"/>
      <c r="D155" s="305"/>
      <c r="E155" s="305"/>
      <c r="F155" s="398"/>
      <c r="G155" s="398"/>
      <c r="H155" s="398"/>
      <c r="I155" s="398"/>
      <c r="K155" s="67"/>
      <c r="L155" s="67"/>
      <c r="M155" s="67"/>
      <c r="N155" s="67"/>
    </row>
    <row r="156">
      <c r="A156" s="397"/>
      <c r="B156" s="305"/>
      <c r="C156" s="305"/>
      <c r="D156" s="305"/>
      <c r="E156" s="305"/>
      <c r="F156" s="398"/>
      <c r="G156" s="398"/>
      <c r="H156" s="398"/>
      <c r="I156" s="398"/>
      <c r="K156" s="67"/>
      <c r="L156" s="67"/>
      <c r="M156" s="67"/>
      <c r="N156" s="67"/>
    </row>
    <row r="157">
      <c r="A157" s="397"/>
      <c r="B157" s="305"/>
      <c r="C157" s="305"/>
      <c r="D157" s="305"/>
      <c r="E157" s="305"/>
      <c r="F157" s="398"/>
      <c r="G157" s="398"/>
      <c r="H157" s="398"/>
      <c r="I157" s="398"/>
      <c r="K157" s="67"/>
      <c r="L157" s="67"/>
      <c r="M157" s="67"/>
      <c r="N157" s="67"/>
    </row>
    <row r="158">
      <c r="A158" s="397"/>
      <c r="B158" s="305"/>
      <c r="C158" s="305"/>
      <c r="D158" s="305"/>
      <c r="E158" s="305"/>
      <c r="F158" s="398"/>
      <c r="G158" s="398"/>
      <c r="H158" s="398"/>
      <c r="I158" s="398"/>
      <c r="K158" s="67"/>
      <c r="L158" s="67"/>
      <c r="M158" s="67"/>
      <c r="N158" s="67"/>
    </row>
    <row r="159">
      <c r="A159" s="397"/>
      <c r="B159" s="305"/>
      <c r="C159" s="305"/>
      <c r="D159" s="305"/>
      <c r="E159" s="305"/>
      <c r="F159" s="398"/>
      <c r="G159" s="398"/>
      <c r="H159" s="398"/>
      <c r="I159" s="398"/>
      <c r="K159" s="67"/>
      <c r="L159" s="67"/>
      <c r="M159" s="67"/>
      <c r="N159" s="67"/>
    </row>
    <row r="160">
      <c r="A160" s="397"/>
      <c r="B160" s="305"/>
      <c r="C160" s="305"/>
      <c r="D160" s="305"/>
      <c r="E160" s="305"/>
      <c r="F160" s="398"/>
      <c r="G160" s="398"/>
      <c r="H160" s="398"/>
      <c r="I160" s="398"/>
      <c r="K160" s="67"/>
      <c r="L160" s="67"/>
      <c r="M160" s="67"/>
      <c r="N160" s="67"/>
    </row>
    <row r="161">
      <c r="A161" s="397"/>
      <c r="B161" s="305"/>
      <c r="C161" s="305"/>
      <c r="D161" s="305"/>
      <c r="E161" s="305"/>
      <c r="F161" s="398"/>
      <c r="G161" s="398"/>
      <c r="H161" s="398"/>
      <c r="I161" s="398"/>
      <c r="K161" s="67"/>
      <c r="L161" s="67"/>
      <c r="M161" s="67"/>
      <c r="N161" s="67"/>
    </row>
    <row r="162">
      <c r="A162" s="397"/>
      <c r="B162" s="305"/>
      <c r="C162" s="305"/>
      <c r="D162" s="305"/>
      <c r="E162" s="305"/>
      <c r="F162" s="398"/>
      <c r="G162" s="398"/>
      <c r="H162" s="398"/>
      <c r="I162" s="398"/>
      <c r="K162" s="67"/>
      <c r="L162" s="67"/>
      <c r="M162" s="67"/>
      <c r="N162" s="67"/>
    </row>
    <row r="163">
      <c r="A163" s="397"/>
      <c r="B163" s="305"/>
      <c r="C163" s="305"/>
      <c r="D163" s="305"/>
      <c r="E163" s="305"/>
      <c r="F163" s="398"/>
      <c r="G163" s="398"/>
      <c r="H163" s="398"/>
      <c r="I163" s="398"/>
      <c r="K163" s="67"/>
      <c r="L163" s="67"/>
      <c r="M163" s="67"/>
      <c r="N163" s="67"/>
    </row>
    <row r="164">
      <c r="A164" s="397"/>
      <c r="B164" s="305"/>
      <c r="C164" s="305"/>
      <c r="D164" s="305"/>
      <c r="E164" s="305"/>
      <c r="F164" s="398"/>
      <c r="G164" s="398"/>
      <c r="H164" s="398"/>
      <c r="I164" s="398"/>
      <c r="K164" s="67"/>
      <c r="L164" s="67"/>
      <c r="M164" s="67"/>
      <c r="N164" s="67"/>
    </row>
    <row r="165">
      <c r="A165" s="397"/>
      <c r="B165" s="305"/>
      <c r="C165" s="305"/>
      <c r="D165" s="305"/>
      <c r="E165" s="305"/>
      <c r="F165" s="398"/>
      <c r="G165" s="398"/>
      <c r="H165" s="398"/>
      <c r="I165" s="398"/>
      <c r="K165" s="67"/>
      <c r="L165" s="67"/>
      <c r="M165" s="67"/>
      <c r="N165" s="67"/>
    </row>
    <row r="166">
      <c r="A166" s="397"/>
      <c r="B166" s="305"/>
      <c r="C166" s="305"/>
      <c r="D166" s="305"/>
      <c r="E166" s="305"/>
      <c r="F166" s="398"/>
      <c r="G166" s="398"/>
      <c r="H166" s="398"/>
      <c r="I166" s="398"/>
      <c r="K166" s="67"/>
      <c r="L166" s="67"/>
      <c r="M166" s="67"/>
      <c r="N166" s="67"/>
    </row>
    <row r="167">
      <c r="A167" s="397"/>
      <c r="B167" s="305"/>
      <c r="C167" s="305"/>
      <c r="D167" s="305"/>
      <c r="E167" s="305"/>
      <c r="F167" s="398"/>
      <c r="G167" s="398"/>
      <c r="H167" s="398"/>
      <c r="I167" s="398"/>
      <c r="K167" s="67"/>
      <c r="L167" s="67"/>
      <c r="M167" s="67"/>
      <c r="N167" s="67"/>
    </row>
    <row r="168">
      <c r="A168" s="397"/>
      <c r="B168" s="305"/>
      <c r="C168" s="305"/>
      <c r="D168" s="305"/>
      <c r="E168" s="305"/>
      <c r="F168" s="398"/>
      <c r="G168" s="398"/>
      <c r="H168" s="398"/>
      <c r="I168" s="398"/>
      <c r="K168" s="67"/>
      <c r="L168" s="67"/>
      <c r="M168" s="67"/>
      <c r="N168" s="67"/>
    </row>
    <row r="169">
      <c r="A169" s="397"/>
      <c r="B169" s="305"/>
      <c r="C169" s="305"/>
      <c r="D169" s="305"/>
      <c r="E169" s="305"/>
      <c r="F169" s="398"/>
      <c r="G169" s="398"/>
      <c r="H169" s="398"/>
      <c r="I169" s="398"/>
      <c r="K169" s="67"/>
      <c r="L169" s="67"/>
      <c r="M169" s="67"/>
      <c r="N169" s="67"/>
    </row>
    <row r="170">
      <c r="A170" s="397"/>
      <c r="B170" s="305"/>
      <c r="C170" s="305"/>
      <c r="D170" s="305"/>
      <c r="E170" s="305"/>
      <c r="F170" s="398"/>
      <c r="G170" s="398"/>
      <c r="H170" s="398"/>
      <c r="I170" s="398"/>
      <c r="K170" s="67"/>
      <c r="L170" s="67"/>
      <c r="M170" s="67"/>
      <c r="N170" s="67"/>
    </row>
    <row r="171">
      <c r="A171" s="397"/>
      <c r="B171" s="305"/>
      <c r="C171" s="305"/>
      <c r="D171" s="305"/>
      <c r="E171" s="305"/>
      <c r="F171" s="398"/>
      <c r="G171" s="398"/>
      <c r="H171" s="398"/>
      <c r="I171" s="398"/>
      <c r="K171" s="67"/>
      <c r="L171" s="67"/>
      <c r="M171" s="67"/>
      <c r="N171" s="67"/>
    </row>
    <row r="172">
      <c r="A172" s="397"/>
      <c r="B172" s="305"/>
      <c r="C172" s="305"/>
      <c r="D172" s="305"/>
      <c r="E172" s="305"/>
      <c r="F172" s="398"/>
      <c r="G172" s="398"/>
      <c r="H172" s="398"/>
      <c r="I172" s="398"/>
      <c r="K172" s="67"/>
      <c r="L172" s="67"/>
      <c r="M172" s="67"/>
      <c r="N172" s="67"/>
    </row>
    <row r="173">
      <c r="A173" s="397"/>
      <c r="B173" s="305"/>
      <c r="C173" s="305"/>
      <c r="D173" s="305"/>
      <c r="E173" s="305"/>
      <c r="F173" s="398"/>
      <c r="G173" s="398"/>
      <c r="H173" s="398"/>
      <c r="I173" s="398"/>
      <c r="K173" s="67"/>
      <c r="L173" s="67"/>
      <c r="M173" s="67"/>
      <c r="N173" s="67"/>
    </row>
    <row r="174">
      <c r="A174" s="397"/>
      <c r="B174" s="305"/>
      <c r="C174" s="305"/>
      <c r="D174" s="305"/>
      <c r="E174" s="305"/>
      <c r="F174" s="398"/>
      <c r="G174" s="398"/>
      <c r="H174" s="398"/>
      <c r="I174" s="398"/>
      <c r="K174" s="67"/>
      <c r="L174" s="67"/>
      <c r="M174" s="67"/>
      <c r="N174" s="67"/>
    </row>
    <row r="175">
      <c r="A175" s="397"/>
      <c r="B175" s="305"/>
      <c r="C175" s="305"/>
      <c r="D175" s="305"/>
      <c r="E175" s="305"/>
      <c r="F175" s="398"/>
      <c r="G175" s="398"/>
      <c r="H175" s="398"/>
      <c r="I175" s="398"/>
      <c r="K175" s="67"/>
      <c r="L175" s="67"/>
      <c r="M175" s="67"/>
      <c r="N175" s="67"/>
    </row>
    <row r="176">
      <c r="A176" s="397"/>
      <c r="B176" s="305"/>
      <c r="C176" s="305"/>
      <c r="D176" s="305"/>
      <c r="E176" s="305"/>
      <c r="F176" s="398"/>
      <c r="G176" s="398"/>
      <c r="H176" s="398"/>
      <c r="I176" s="398"/>
      <c r="K176" s="67"/>
      <c r="L176" s="67"/>
      <c r="M176" s="67"/>
      <c r="N176" s="67"/>
    </row>
    <row r="177">
      <c r="A177" s="397"/>
      <c r="B177" s="305"/>
      <c r="C177" s="305"/>
      <c r="D177" s="305"/>
      <c r="E177" s="305"/>
      <c r="F177" s="398"/>
      <c r="G177" s="398"/>
      <c r="H177" s="398"/>
      <c r="I177" s="398"/>
      <c r="K177" s="67"/>
      <c r="L177" s="67"/>
      <c r="M177" s="67"/>
      <c r="N177" s="67"/>
    </row>
    <row r="178">
      <c r="A178" s="397"/>
      <c r="B178" s="305"/>
      <c r="C178" s="305"/>
      <c r="D178" s="305"/>
      <c r="E178" s="305"/>
      <c r="F178" s="398"/>
      <c r="G178" s="398"/>
      <c r="H178" s="398"/>
      <c r="I178" s="398"/>
      <c r="K178" s="67"/>
      <c r="L178" s="67"/>
      <c r="M178" s="67"/>
      <c r="N178" s="67"/>
    </row>
    <row r="179">
      <c r="A179" s="397"/>
      <c r="B179" s="305"/>
      <c r="C179" s="305"/>
      <c r="D179" s="305"/>
      <c r="E179" s="305"/>
      <c r="F179" s="398"/>
      <c r="G179" s="398"/>
      <c r="H179" s="398"/>
      <c r="I179" s="398"/>
      <c r="K179" s="67"/>
      <c r="L179" s="67"/>
      <c r="M179" s="67"/>
      <c r="N179" s="67"/>
    </row>
    <row r="180">
      <c r="A180" s="397"/>
      <c r="B180" s="305"/>
      <c r="C180" s="305"/>
      <c r="D180" s="305"/>
      <c r="E180" s="305"/>
      <c r="F180" s="398"/>
      <c r="G180" s="398"/>
      <c r="H180" s="398"/>
      <c r="I180" s="398"/>
      <c r="K180" s="67"/>
      <c r="L180" s="67"/>
      <c r="M180" s="67"/>
      <c r="N180" s="67"/>
    </row>
    <row r="181">
      <c r="A181" s="397"/>
      <c r="B181" s="305"/>
      <c r="C181" s="305"/>
      <c r="D181" s="305"/>
      <c r="E181" s="305"/>
      <c r="F181" s="398"/>
      <c r="G181" s="398"/>
      <c r="H181" s="398"/>
      <c r="I181" s="398"/>
      <c r="K181" s="67"/>
      <c r="L181" s="67"/>
      <c r="M181" s="67"/>
      <c r="N181" s="67"/>
    </row>
    <row r="182">
      <c r="A182" s="397"/>
      <c r="B182" s="305"/>
      <c r="C182" s="305"/>
      <c r="D182" s="305"/>
      <c r="E182" s="305"/>
      <c r="F182" s="398"/>
      <c r="G182" s="398"/>
      <c r="H182" s="398"/>
      <c r="I182" s="398"/>
      <c r="K182" s="67"/>
      <c r="L182" s="67"/>
      <c r="M182" s="67"/>
      <c r="N182" s="67"/>
    </row>
    <row r="183">
      <c r="A183" s="397"/>
      <c r="B183" s="305"/>
      <c r="C183" s="305"/>
      <c r="D183" s="305"/>
      <c r="E183" s="305"/>
      <c r="F183" s="398"/>
      <c r="G183" s="398"/>
      <c r="H183" s="398"/>
      <c r="I183" s="398"/>
      <c r="K183" s="67"/>
      <c r="L183" s="67"/>
      <c r="M183" s="67"/>
      <c r="N183" s="67"/>
    </row>
    <row r="184">
      <c r="A184" s="397"/>
      <c r="B184" s="305"/>
      <c r="C184" s="305"/>
      <c r="D184" s="305"/>
      <c r="E184" s="305"/>
      <c r="F184" s="398"/>
      <c r="G184" s="398"/>
      <c r="H184" s="398"/>
      <c r="I184" s="398"/>
      <c r="K184" s="67"/>
      <c r="L184" s="67"/>
      <c r="M184" s="67"/>
      <c r="N184" s="67"/>
    </row>
    <row r="185">
      <c r="A185" s="397"/>
      <c r="B185" s="305"/>
      <c r="C185" s="305"/>
      <c r="D185" s="305"/>
      <c r="E185" s="305"/>
      <c r="F185" s="398"/>
      <c r="G185" s="398"/>
      <c r="H185" s="398"/>
      <c r="I185" s="398"/>
      <c r="K185" s="67"/>
      <c r="L185" s="67"/>
      <c r="M185" s="67"/>
      <c r="N185" s="67"/>
    </row>
    <row r="186">
      <c r="A186" s="397"/>
      <c r="B186" s="305"/>
      <c r="C186" s="305"/>
      <c r="D186" s="305"/>
      <c r="E186" s="305"/>
      <c r="F186" s="398"/>
      <c r="G186" s="398"/>
      <c r="H186" s="398"/>
      <c r="I186" s="398"/>
      <c r="K186" s="67"/>
      <c r="L186" s="67"/>
      <c r="M186" s="67"/>
      <c r="N186" s="67"/>
    </row>
    <row r="187">
      <c r="A187" s="397"/>
      <c r="B187" s="305"/>
      <c r="C187" s="305"/>
      <c r="D187" s="305"/>
      <c r="E187" s="305"/>
      <c r="F187" s="398"/>
      <c r="G187" s="398"/>
      <c r="H187" s="398"/>
      <c r="I187" s="398"/>
      <c r="K187" s="67"/>
      <c r="L187" s="67"/>
      <c r="M187" s="67"/>
      <c r="N187" s="67"/>
    </row>
    <row r="188">
      <c r="A188" s="397"/>
      <c r="B188" s="305"/>
      <c r="C188" s="305"/>
      <c r="D188" s="305"/>
      <c r="E188" s="305"/>
      <c r="F188" s="398"/>
      <c r="G188" s="398"/>
      <c r="H188" s="398"/>
      <c r="I188" s="398"/>
      <c r="K188" s="67"/>
      <c r="L188" s="67"/>
      <c r="M188" s="67"/>
      <c r="N188" s="67"/>
    </row>
    <row r="189">
      <c r="A189" s="397"/>
      <c r="B189" s="305"/>
      <c r="C189" s="305"/>
      <c r="D189" s="305"/>
      <c r="E189" s="305"/>
      <c r="F189" s="398"/>
      <c r="G189" s="398"/>
      <c r="H189" s="398"/>
      <c r="I189" s="398"/>
      <c r="K189" s="67"/>
      <c r="L189" s="67"/>
      <c r="M189" s="67"/>
      <c r="N189" s="67"/>
    </row>
    <row r="190">
      <c r="A190" s="397"/>
      <c r="B190" s="305"/>
      <c r="C190" s="305"/>
      <c r="D190" s="305"/>
      <c r="E190" s="305"/>
      <c r="F190" s="398"/>
      <c r="G190" s="398"/>
      <c r="H190" s="398"/>
      <c r="I190" s="398"/>
      <c r="K190" s="67"/>
      <c r="L190" s="67"/>
      <c r="M190" s="67"/>
      <c r="N190" s="67"/>
    </row>
    <row r="191">
      <c r="A191" s="397"/>
      <c r="B191" s="305"/>
      <c r="C191" s="305"/>
      <c r="D191" s="305"/>
      <c r="E191" s="305"/>
      <c r="F191" s="398"/>
      <c r="G191" s="398"/>
      <c r="H191" s="398"/>
      <c r="I191" s="398"/>
      <c r="K191" s="67"/>
      <c r="L191" s="67"/>
      <c r="M191" s="67"/>
      <c r="N191" s="67"/>
    </row>
    <row r="192">
      <c r="A192" s="397"/>
      <c r="B192" s="305"/>
      <c r="C192" s="305"/>
      <c r="D192" s="305"/>
      <c r="E192" s="305"/>
      <c r="F192" s="398"/>
      <c r="G192" s="398"/>
      <c r="H192" s="398"/>
      <c r="I192" s="398"/>
      <c r="K192" s="67"/>
      <c r="L192" s="67"/>
      <c r="M192" s="67"/>
      <c r="N192" s="67"/>
    </row>
    <row r="193">
      <c r="A193" s="397"/>
      <c r="B193" s="305"/>
      <c r="C193" s="305"/>
      <c r="D193" s="305"/>
      <c r="E193" s="305"/>
      <c r="F193" s="398"/>
      <c r="G193" s="398"/>
      <c r="H193" s="398"/>
      <c r="I193" s="398"/>
      <c r="K193" s="67"/>
      <c r="L193" s="67"/>
      <c r="M193" s="67"/>
      <c r="N193" s="67"/>
    </row>
    <row r="194">
      <c r="A194" s="397"/>
      <c r="B194" s="305"/>
      <c r="C194" s="305"/>
      <c r="D194" s="305"/>
      <c r="E194" s="305"/>
      <c r="F194" s="398"/>
      <c r="G194" s="398"/>
      <c r="H194" s="398"/>
      <c r="I194" s="398"/>
      <c r="K194" s="67"/>
      <c r="L194" s="67"/>
      <c r="M194" s="67"/>
      <c r="N194" s="67"/>
    </row>
    <row r="195">
      <c r="A195" s="397"/>
      <c r="B195" s="305"/>
      <c r="C195" s="305"/>
      <c r="D195" s="305"/>
      <c r="E195" s="305"/>
      <c r="F195" s="398"/>
      <c r="G195" s="398"/>
      <c r="H195" s="398"/>
      <c r="I195" s="398"/>
      <c r="K195" s="67"/>
      <c r="L195" s="67"/>
      <c r="M195" s="67"/>
      <c r="N195" s="67"/>
    </row>
    <row r="196">
      <c r="A196" s="397"/>
      <c r="B196" s="305"/>
      <c r="C196" s="305"/>
      <c r="D196" s="305"/>
      <c r="E196" s="305"/>
      <c r="F196" s="398"/>
      <c r="G196" s="398"/>
      <c r="H196" s="398"/>
      <c r="I196" s="398"/>
      <c r="K196" s="67"/>
      <c r="L196" s="67"/>
      <c r="M196" s="67"/>
      <c r="N196" s="67"/>
    </row>
    <row r="197">
      <c r="A197" s="397"/>
      <c r="B197" s="305"/>
      <c r="C197" s="305"/>
      <c r="D197" s="305"/>
      <c r="E197" s="305"/>
      <c r="F197" s="398"/>
      <c r="G197" s="398"/>
      <c r="H197" s="398"/>
      <c r="I197" s="398"/>
      <c r="K197" s="67"/>
      <c r="L197" s="67"/>
      <c r="M197" s="67"/>
      <c r="N197" s="67"/>
    </row>
    <row r="198">
      <c r="A198" s="397"/>
      <c r="B198" s="305"/>
      <c r="C198" s="305"/>
      <c r="D198" s="305"/>
      <c r="E198" s="305"/>
      <c r="F198" s="398"/>
      <c r="G198" s="398"/>
      <c r="H198" s="398"/>
      <c r="I198" s="398"/>
      <c r="K198" s="67"/>
      <c r="L198" s="67"/>
      <c r="M198" s="67"/>
      <c r="N198" s="67"/>
    </row>
    <row r="199">
      <c r="A199" s="397"/>
      <c r="B199" s="305"/>
      <c r="C199" s="305"/>
      <c r="D199" s="305"/>
      <c r="E199" s="305"/>
      <c r="F199" s="398"/>
      <c r="G199" s="398"/>
      <c r="H199" s="398"/>
      <c r="I199" s="398"/>
      <c r="K199" s="67"/>
      <c r="L199" s="67"/>
      <c r="M199" s="67"/>
      <c r="N199" s="67"/>
    </row>
    <row r="200">
      <c r="A200" s="397"/>
      <c r="B200" s="305"/>
      <c r="C200" s="305"/>
      <c r="D200" s="305"/>
      <c r="E200" s="305"/>
      <c r="F200" s="398"/>
      <c r="G200" s="398"/>
      <c r="H200" s="398"/>
      <c r="I200" s="398"/>
      <c r="K200" s="67"/>
      <c r="L200" s="67"/>
      <c r="M200" s="67"/>
      <c r="N200" s="67"/>
    </row>
    <row r="201">
      <c r="A201" s="397"/>
      <c r="B201" s="305"/>
      <c r="C201" s="305"/>
      <c r="D201" s="305"/>
      <c r="E201" s="305"/>
      <c r="F201" s="398"/>
      <c r="G201" s="398"/>
      <c r="H201" s="398"/>
      <c r="I201" s="398"/>
      <c r="K201" s="67"/>
      <c r="L201" s="67"/>
      <c r="M201" s="67"/>
      <c r="N201" s="67"/>
    </row>
    <row r="202">
      <c r="A202" s="397"/>
      <c r="B202" s="305"/>
      <c r="C202" s="305"/>
      <c r="D202" s="305"/>
      <c r="E202" s="305"/>
      <c r="F202" s="398"/>
      <c r="G202" s="398"/>
      <c r="H202" s="398"/>
      <c r="I202" s="398"/>
      <c r="K202" s="67"/>
      <c r="L202" s="67"/>
      <c r="M202" s="67"/>
      <c r="N202" s="67"/>
    </row>
    <row r="203">
      <c r="A203" s="397"/>
      <c r="B203" s="305"/>
      <c r="C203" s="305"/>
      <c r="D203" s="305"/>
      <c r="E203" s="305"/>
      <c r="F203" s="398"/>
      <c r="G203" s="398"/>
      <c r="H203" s="398"/>
      <c r="I203" s="398"/>
      <c r="K203" s="67"/>
      <c r="L203" s="67"/>
      <c r="M203" s="67"/>
      <c r="N203" s="67"/>
    </row>
    <row r="204">
      <c r="A204" s="397"/>
      <c r="B204" s="305"/>
      <c r="C204" s="305"/>
      <c r="D204" s="305"/>
      <c r="E204" s="305"/>
      <c r="F204" s="398"/>
      <c r="G204" s="398"/>
      <c r="H204" s="398"/>
      <c r="I204" s="398"/>
      <c r="K204" s="67"/>
      <c r="L204" s="67"/>
      <c r="M204" s="67"/>
      <c r="N204" s="67"/>
    </row>
    <row r="205">
      <c r="A205" s="397"/>
      <c r="B205" s="305"/>
      <c r="C205" s="305"/>
      <c r="D205" s="305"/>
      <c r="E205" s="305"/>
      <c r="F205" s="398"/>
      <c r="G205" s="398"/>
      <c r="H205" s="398"/>
      <c r="I205" s="398"/>
      <c r="K205" s="67"/>
      <c r="L205" s="67"/>
      <c r="M205" s="67"/>
      <c r="N205" s="67"/>
    </row>
    <row r="206">
      <c r="A206" s="397"/>
      <c r="B206" s="305"/>
      <c r="C206" s="305"/>
      <c r="D206" s="305"/>
      <c r="E206" s="305"/>
      <c r="F206" s="398"/>
      <c r="G206" s="398"/>
      <c r="H206" s="398"/>
      <c r="I206" s="398"/>
      <c r="K206" s="67"/>
      <c r="L206" s="67"/>
      <c r="M206" s="67"/>
      <c r="N206" s="67"/>
    </row>
    <row r="207">
      <c r="A207" s="397"/>
      <c r="B207" s="305"/>
      <c r="C207" s="305"/>
      <c r="D207" s="305"/>
      <c r="E207" s="305"/>
      <c r="F207" s="398"/>
      <c r="G207" s="398"/>
      <c r="H207" s="398"/>
      <c r="I207" s="398"/>
      <c r="K207" s="67"/>
      <c r="L207" s="67"/>
      <c r="M207" s="67"/>
      <c r="N207" s="67"/>
    </row>
    <row r="208">
      <c r="A208" s="397"/>
      <c r="B208" s="305"/>
      <c r="C208" s="305"/>
      <c r="D208" s="305"/>
      <c r="E208" s="305"/>
      <c r="F208" s="398"/>
      <c r="G208" s="398"/>
      <c r="H208" s="398"/>
      <c r="I208" s="398"/>
      <c r="K208" s="67"/>
      <c r="L208" s="67"/>
      <c r="M208" s="67"/>
      <c r="N208" s="67"/>
    </row>
    <row r="209">
      <c r="A209" s="397"/>
      <c r="B209" s="305"/>
      <c r="C209" s="305"/>
      <c r="D209" s="305"/>
      <c r="E209" s="305"/>
      <c r="F209" s="398"/>
      <c r="G209" s="398"/>
      <c r="H209" s="398"/>
      <c r="I209" s="398"/>
      <c r="K209" s="67"/>
      <c r="L209" s="67"/>
      <c r="M209" s="67"/>
      <c r="N209" s="67"/>
    </row>
    <row r="210">
      <c r="A210" s="397"/>
      <c r="B210" s="305"/>
      <c r="C210" s="305"/>
      <c r="D210" s="305"/>
      <c r="E210" s="305"/>
      <c r="F210" s="398"/>
      <c r="G210" s="398"/>
      <c r="H210" s="398"/>
      <c r="I210" s="398"/>
      <c r="K210" s="67"/>
      <c r="L210" s="67"/>
      <c r="M210" s="67"/>
      <c r="N210" s="67"/>
    </row>
    <row r="211">
      <c r="A211" s="397"/>
      <c r="B211" s="305"/>
      <c r="C211" s="305"/>
      <c r="D211" s="305"/>
      <c r="E211" s="305"/>
      <c r="F211" s="398"/>
      <c r="G211" s="398"/>
      <c r="H211" s="398"/>
      <c r="I211" s="398"/>
      <c r="K211" s="67"/>
      <c r="L211" s="67"/>
      <c r="M211" s="67"/>
      <c r="N211" s="67"/>
    </row>
    <row r="212">
      <c r="A212" s="397"/>
      <c r="B212" s="305"/>
      <c r="C212" s="305"/>
      <c r="D212" s="305"/>
      <c r="E212" s="305"/>
      <c r="F212" s="398"/>
      <c r="G212" s="398"/>
      <c r="H212" s="398"/>
      <c r="I212" s="398"/>
      <c r="K212" s="67"/>
      <c r="L212" s="67"/>
      <c r="M212" s="67"/>
      <c r="N212" s="67"/>
    </row>
    <row r="213">
      <c r="A213" s="397"/>
      <c r="B213" s="305"/>
      <c r="C213" s="305"/>
      <c r="D213" s="305"/>
      <c r="E213" s="305"/>
      <c r="F213" s="398"/>
      <c r="G213" s="398"/>
      <c r="H213" s="398"/>
      <c r="I213" s="398"/>
      <c r="K213" s="67"/>
      <c r="L213" s="67"/>
      <c r="M213" s="67"/>
      <c r="N213" s="67"/>
    </row>
    <row r="214">
      <c r="A214" s="397"/>
      <c r="B214" s="305"/>
      <c r="C214" s="305"/>
      <c r="D214" s="305"/>
      <c r="E214" s="305"/>
      <c r="F214" s="398"/>
      <c r="G214" s="398"/>
      <c r="H214" s="398"/>
      <c r="I214" s="398"/>
      <c r="K214" s="67"/>
      <c r="L214" s="67"/>
      <c r="M214" s="67"/>
      <c r="N214" s="67"/>
    </row>
    <row r="215">
      <c r="A215" s="397"/>
      <c r="B215" s="305"/>
      <c r="C215" s="305"/>
      <c r="D215" s="305"/>
      <c r="E215" s="305"/>
      <c r="F215" s="398"/>
      <c r="G215" s="398"/>
      <c r="H215" s="398"/>
      <c r="I215" s="398"/>
      <c r="K215" s="67"/>
      <c r="L215" s="67"/>
      <c r="M215" s="67"/>
      <c r="N215" s="67"/>
    </row>
    <row r="216">
      <c r="A216" s="397"/>
      <c r="B216" s="305"/>
      <c r="C216" s="305"/>
      <c r="D216" s="305"/>
      <c r="E216" s="305"/>
      <c r="F216" s="398"/>
      <c r="G216" s="398"/>
      <c r="H216" s="398"/>
      <c r="I216" s="398"/>
      <c r="K216" s="67"/>
      <c r="L216" s="67"/>
      <c r="M216" s="67"/>
      <c r="N216" s="67"/>
    </row>
    <row r="217">
      <c r="A217" s="397"/>
      <c r="B217" s="305"/>
      <c r="C217" s="305"/>
      <c r="D217" s="305"/>
      <c r="E217" s="305"/>
      <c r="F217" s="398"/>
      <c r="G217" s="398"/>
      <c r="H217" s="398"/>
      <c r="I217" s="398"/>
      <c r="K217" s="67"/>
      <c r="L217" s="67"/>
      <c r="M217" s="67"/>
      <c r="N217" s="67"/>
    </row>
    <row r="218">
      <c r="A218" s="397"/>
      <c r="B218" s="305"/>
      <c r="C218" s="305"/>
      <c r="D218" s="305"/>
      <c r="E218" s="305"/>
      <c r="F218" s="398"/>
      <c r="G218" s="398"/>
      <c r="H218" s="398"/>
      <c r="I218" s="398"/>
      <c r="K218" s="67"/>
      <c r="L218" s="67"/>
      <c r="M218" s="67"/>
      <c r="N218" s="67"/>
    </row>
    <row r="219">
      <c r="A219" s="397"/>
      <c r="B219" s="305"/>
      <c r="C219" s="305"/>
      <c r="D219" s="305"/>
      <c r="E219" s="305"/>
      <c r="F219" s="398"/>
      <c r="G219" s="398"/>
      <c r="H219" s="398"/>
      <c r="I219" s="398"/>
      <c r="K219" s="67"/>
      <c r="L219" s="67"/>
      <c r="M219" s="67"/>
      <c r="N219" s="67"/>
    </row>
    <row r="220">
      <c r="A220" s="397"/>
      <c r="B220" s="305"/>
      <c r="C220" s="305"/>
      <c r="D220" s="305"/>
      <c r="E220" s="305"/>
      <c r="F220" s="398"/>
      <c r="G220" s="398"/>
      <c r="H220" s="398"/>
      <c r="I220" s="398"/>
      <c r="K220" s="67"/>
      <c r="L220" s="67"/>
      <c r="M220" s="67"/>
      <c r="N220" s="67"/>
    </row>
    <row r="221">
      <c r="A221" s="397"/>
      <c r="B221" s="305"/>
      <c r="C221" s="305"/>
      <c r="D221" s="305"/>
      <c r="E221" s="305"/>
      <c r="F221" s="398"/>
      <c r="G221" s="398"/>
      <c r="H221" s="398"/>
      <c r="I221" s="398"/>
      <c r="K221" s="67"/>
      <c r="L221" s="67"/>
      <c r="M221" s="67"/>
      <c r="N221" s="67"/>
    </row>
    <row r="222">
      <c r="A222" s="397"/>
      <c r="B222" s="305"/>
      <c r="C222" s="305"/>
      <c r="D222" s="305"/>
      <c r="E222" s="305"/>
      <c r="F222" s="398"/>
      <c r="G222" s="398"/>
      <c r="H222" s="398"/>
      <c r="I222" s="398"/>
      <c r="K222" s="67"/>
      <c r="L222" s="67"/>
      <c r="M222" s="67"/>
      <c r="N222" s="67"/>
    </row>
    <row r="223">
      <c r="A223" s="397"/>
      <c r="B223" s="305"/>
      <c r="C223" s="305"/>
      <c r="D223" s="305"/>
      <c r="E223" s="305"/>
      <c r="F223" s="398"/>
      <c r="G223" s="398"/>
      <c r="H223" s="398"/>
      <c r="I223" s="398"/>
      <c r="K223" s="67"/>
      <c r="L223" s="67"/>
      <c r="M223" s="67"/>
      <c r="N223" s="67"/>
    </row>
    <row r="224">
      <c r="A224" s="397"/>
      <c r="B224" s="305"/>
      <c r="C224" s="305"/>
      <c r="D224" s="305"/>
      <c r="E224" s="305"/>
      <c r="F224" s="398"/>
      <c r="G224" s="398"/>
      <c r="H224" s="398"/>
      <c r="I224" s="398"/>
      <c r="K224" s="67"/>
      <c r="L224" s="67"/>
      <c r="M224" s="67"/>
      <c r="N224" s="67"/>
    </row>
    <row r="225">
      <c r="A225" s="397"/>
      <c r="B225" s="305"/>
      <c r="C225" s="305"/>
      <c r="D225" s="305"/>
      <c r="E225" s="305"/>
      <c r="F225" s="398"/>
      <c r="G225" s="398"/>
      <c r="H225" s="398"/>
      <c r="I225" s="398"/>
      <c r="K225" s="67"/>
      <c r="L225" s="67"/>
      <c r="M225" s="67"/>
      <c r="N225" s="67"/>
    </row>
    <row r="226">
      <c r="A226" s="397"/>
      <c r="B226" s="305"/>
      <c r="C226" s="305"/>
      <c r="D226" s="305"/>
      <c r="E226" s="305"/>
      <c r="F226" s="398"/>
      <c r="G226" s="398"/>
      <c r="H226" s="398"/>
      <c r="I226" s="398"/>
      <c r="K226" s="67"/>
      <c r="L226" s="67"/>
      <c r="M226" s="67"/>
      <c r="N226" s="67"/>
    </row>
    <row r="227">
      <c r="A227" s="397"/>
      <c r="B227" s="305"/>
      <c r="C227" s="305"/>
      <c r="D227" s="305"/>
      <c r="E227" s="305"/>
      <c r="F227" s="398"/>
      <c r="G227" s="398"/>
      <c r="H227" s="398"/>
      <c r="I227" s="398"/>
      <c r="K227" s="67"/>
      <c r="L227" s="67"/>
      <c r="M227" s="67"/>
      <c r="N227" s="67"/>
    </row>
    <row r="228">
      <c r="A228" s="397"/>
      <c r="B228" s="305"/>
      <c r="C228" s="305"/>
      <c r="D228" s="305"/>
      <c r="E228" s="305"/>
      <c r="F228" s="398"/>
      <c r="G228" s="398"/>
      <c r="H228" s="398"/>
      <c r="I228" s="398"/>
      <c r="K228" s="67"/>
      <c r="L228" s="67"/>
      <c r="M228" s="67"/>
      <c r="N228" s="67"/>
    </row>
    <row r="229">
      <c r="A229" s="397"/>
      <c r="B229" s="305"/>
      <c r="C229" s="305"/>
      <c r="D229" s="305"/>
      <c r="E229" s="305"/>
      <c r="F229" s="398"/>
      <c r="G229" s="398"/>
      <c r="H229" s="398"/>
      <c r="I229" s="398"/>
      <c r="K229" s="67"/>
      <c r="L229" s="67"/>
      <c r="M229" s="67"/>
      <c r="N229" s="67"/>
    </row>
    <row r="230">
      <c r="A230" s="397"/>
      <c r="B230" s="305"/>
      <c r="C230" s="305"/>
      <c r="D230" s="305"/>
      <c r="E230" s="305"/>
      <c r="F230" s="398"/>
      <c r="G230" s="398"/>
      <c r="H230" s="398"/>
      <c r="I230" s="398"/>
      <c r="K230" s="67"/>
      <c r="L230" s="67"/>
      <c r="M230" s="67"/>
      <c r="N230" s="67"/>
    </row>
    <row r="231">
      <c r="A231" s="397"/>
      <c r="B231" s="305"/>
      <c r="C231" s="305"/>
      <c r="D231" s="305"/>
      <c r="E231" s="305"/>
      <c r="F231" s="398"/>
      <c r="G231" s="398"/>
      <c r="H231" s="398"/>
      <c r="I231" s="398"/>
      <c r="K231" s="67"/>
      <c r="L231" s="67"/>
      <c r="M231" s="67"/>
      <c r="N231" s="67"/>
    </row>
    <row r="232">
      <c r="A232" s="397"/>
      <c r="B232" s="305"/>
      <c r="C232" s="305"/>
      <c r="D232" s="305"/>
      <c r="E232" s="305"/>
      <c r="F232" s="398"/>
      <c r="G232" s="398"/>
      <c r="H232" s="398"/>
      <c r="I232" s="398"/>
      <c r="K232" s="67"/>
      <c r="L232" s="67"/>
      <c r="M232" s="67"/>
      <c r="N232" s="67"/>
    </row>
    <row r="233">
      <c r="A233" s="397"/>
      <c r="B233" s="305"/>
      <c r="C233" s="305"/>
      <c r="D233" s="305"/>
      <c r="E233" s="305"/>
      <c r="F233" s="398"/>
      <c r="G233" s="398"/>
      <c r="H233" s="398"/>
      <c r="I233" s="398"/>
      <c r="K233" s="67"/>
      <c r="L233" s="67"/>
      <c r="M233" s="67"/>
      <c r="N233" s="67"/>
    </row>
    <row r="234">
      <c r="A234" s="397"/>
      <c r="B234" s="305"/>
      <c r="C234" s="305"/>
      <c r="D234" s="305"/>
      <c r="E234" s="305"/>
      <c r="F234" s="398"/>
      <c r="G234" s="398"/>
      <c r="H234" s="398"/>
      <c r="I234" s="398"/>
      <c r="K234" s="67"/>
      <c r="L234" s="67"/>
      <c r="M234" s="67"/>
      <c r="N234" s="67"/>
    </row>
    <row r="235">
      <c r="A235" s="397"/>
      <c r="B235" s="305"/>
      <c r="C235" s="305"/>
      <c r="D235" s="305"/>
      <c r="E235" s="305"/>
      <c r="F235" s="398"/>
      <c r="G235" s="398"/>
      <c r="H235" s="398"/>
      <c r="I235" s="398"/>
      <c r="K235" s="67"/>
      <c r="L235" s="67"/>
      <c r="M235" s="67"/>
      <c r="N235" s="67"/>
    </row>
    <row r="236">
      <c r="A236" s="397"/>
      <c r="B236" s="305"/>
      <c r="C236" s="305"/>
      <c r="D236" s="305"/>
      <c r="E236" s="305"/>
      <c r="F236" s="398"/>
      <c r="G236" s="398"/>
      <c r="H236" s="398"/>
      <c r="I236" s="398"/>
      <c r="K236" s="67"/>
      <c r="L236" s="67"/>
      <c r="M236" s="67"/>
      <c r="N236" s="67"/>
    </row>
    <row r="237">
      <c r="A237" s="397"/>
      <c r="B237" s="305"/>
      <c r="C237" s="305"/>
      <c r="D237" s="305"/>
      <c r="E237" s="305"/>
      <c r="F237" s="398"/>
      <c r="G237" s="398"/>
      <c r="H237" s="398"/>
      <c r="I237" s="398"/>
      <c r="K237" s="67"/>
      <c r="L237" s="67"/>
      <c r="M237" s="67"/>
      <c r="N237" s="67"/>
    </row>
    <row r="238">
      <c r="A238" s="397"/>
      <c r="B238" s="305"/>
      <c r="C238" s="305"/>
      <c r="D238" s="305"/>
      <c r="E238" s="305"/>
      <c r="F238" s="398"/>
      <c r="G238" s="398"/>
      <c r="H238" s="398"/>
      <c r="I238" s="398"/>
      <c r="K238" s="67"/>
      <c r="L238" s="67"/>
      <c r="M238" s="67"/>
      <c r="N238" s="67"/>
    </row>
    <row r="239">
      <c r="A239" s="397"/>
      <c r="B239" s="305"/>
      <c r="C239" s="305"/>
      <c r="D239" s="305"/>
      <c r="E239" s="305"/>
      <c r="F239" s="398"/>
      <c r="G239" s="398"/>
      <c r="H239" s="398"/>
      <c r="I239" s="398"/>
      <c r="K239" s="67"/>
      <c r="L239" s="67"/>
      <c r="M239" s="67"/>
      <c r="N239" s="67"/>
    </row>
    <row r="240">
      <c r="A240" s="397"/>
      <c r="B240" s="305"/>
      <c r="C240" s="305"/>
      <c r="D240" s="305"/>
      <c r="E240" s="305"/>
      <c r="F240" s="398"/>
      <c r="G240" s="398"/>
      <c r="H240" s="398"/>
      <c r="I240" s="398"/>
      <c r="K240" s="67"/>
      <c r="L240" s="67"/>
      <c r="M240" s="67"/>
      <c r="N240" s="67"/>
    </row>
    <row r="241">
      <c r="A241" s="397"/>
      <c r="B241" s="305"/>
      <c r="C241" s="305"/>
      <c r="D241" s="305"/>
      <c r="E241" s="305"/>
      <c r="F241" s="398"/>
      <c r="G241" s="398"/>
      <c r="H241" s="398"/>
      <c r="I241" s="398"/>
      <c r="K241" s="67"/>
      <c r="L241" s="67"/>
      <c r="M241" s="67"/>
      <c r="N241" s="67"/>
    </row>
    <row r="242">
      <c r="A242" s="397"/>
      <c r="B242" s="305"/>
      <c r="C242" s="305"/>
      <c r="D242" s="305"/>
      <c r="E242" s="305"/>
      <c r="F242" s="398"/>
      <c r="G242" s="398"/>
      <c r="H242" s="398"/>
      <c r="I242" s="398"/>
      <c r="K242" s="67"/>
      <c r="L242" s="67"/>
      <c r="M242" s="67"/>
      <c r="N242" s="67"/>
    </row>
    <row r="243">
      <c r="A243" s="397"/>
      <c r="B243" s="305"/>
      <c r="C243" s="305"/>
      <c r="D243" s="305"/>
      <c r="E243" s="305"/>
      <c r="F243" s="398"/>
      <c r="G243" s="398"/>
      <c r="H243" s="398"/>
      <c r="I243" s="398"/>
      <c r="K243" s="67"/>
      <c r="L243" s="67"/>
      <c r="M243" s="67"/>
      <c r="N243" s="67"/>
    </row>
    <row r="244">
      <c r="A244" s="397"/>
      <c r="B244" s="305"/>
      <c r="C244" s="305"/>
      <c r="D244" s="305"/>
      <c r="E244" s="305"/>
      <c r="F244" s="398"/>
      <c r="G244" s="398"/>
      <c r="H244" s="398"/>
      <c r="I244" s="398"/>
      <c r="K244" s="67"/>
      <c r="L244" s="67"/>
      <c r="M244" s="67"/>
      <c r="N244" s="67"/>
    </row>
    <row r="245">
      <c r="A245" s="397"/>
      <c r="B245" s="305"/>
      <c r="C245" s="305"/>
      <c r="D245" s="305"/>
      <c r="E245" s="305"/>
      <c r="F245" s="398"/>
      <c r="G245" s="398"/>
      <c r="H245" s="398"/>
      <c r="I245" s="398"/>
      <c r="K245" s="67"/>
      <c r="L245" s="67"/>
      <c r="M245" s="67"/>
      <c r="N245" s="67"/>
    </row>
    <row r="246">
      <c r="A246" s="397"/>
      <c r="B246" s="305"/>
      <c r="C246" s="305"/>
      <c r="D246" s="305"/>
      <c r="E246" s="305"/>
      <c r="F246" s="398"/>
      <c r="G246" s="398"/>
      <c r="H246" s="398"/>
      <c r="I246" s="398"/>
      <c r="K246" s="67"/>
      <c r="L246" s="67"/>
      <c r="M246" s="67"/>
      <c r="N246" s="67"/>
    </row>
    <row r="247">
      <c r="A247" s="397"/>
      <c r="B247" s="305"/>
      <c r="C247" s="305"/>
      <c r="D247" s="305"/>
      <c r="E247" s="305"/>
      <c r="F247" s="398"/>
      <c r="G247" s="398"/>
      <c r="H247" s="398"/>
      <c r="I247" s="398"/>
      <c r="K247" s="67"/>
      <c r="L247" s="67"/>
      <c r="M247" s="67"/>
      <c r="N247" s="67"/>
    </row>
    <row r="248">
      <c r="A248" s="397"/>
      <c r="B248" s="305"/>
      <c r="C248" s="305"/>
      <c r="D248" s="305"/>
      <c r="E248" s="305"/>
      <c r="F248" s="398"/>
      <c r="G248" s="398"/>
      <c r="H248" s="398"/>
      <c r="I248" s="398"/>
      <c r="K248" s="67"/>
      <c r="L248" s="67"/>
      <c r="M248" s="67"/>
      <c r="N248" s="67"/>
    </row>
    <row r="249">
      <c r="A249" s="397"/>
      <c r="B249" s="305"/>
      <c r="C249" s="305"/>
      <c r="D249" s="305"/>
      <c r="E249" s="305"/>
      <c r="F249" s="398"/>
      <c r="G249" s="398"/>
      <c r="H249" s="398"/>
      <c r="I249" s="398"/>
      <c r="K249" s="67"/>
      <c r="L249" s="67"/>
      <c r="M249" s="67"/>
      <c r="N249" s="67"/>
    </row>
    <row r="250">
      <c r="A250" s="397"/>
      <c r="B250" s="305"/>
      <c r="C250" s="305"/>
      <c r="D250" s="305"/>
      <c r="E250" s="305"/>
      <c r="F250" s="398"/>
      <c r="G250" s="398"/>
      <c r="H250" s="398"/>
      <c r="I250" s="398"/>
      <c r="K250" s="67"/>
      <c r="L250" s="67"/>
      <c r="M250" s="67"/>
      <c r="N250" s="67"/>
    </row>
    <row r="251">
      <c r="A251" s="397"/>
      <c r="B251" s="305"/>
      <c r="C251" s="305"/>
      <c r="D251" s="305"/>
      <c r="E251" s="305"/>
      <c r="F251" s="398"/>
      <c r="G251" s="398"/>
      <c r="H251" s="398"/>
      <c r="I251" s="398"/>
      <c r="K251" s="67"/>
      <c r="L251" s="67"/>
      <c r="M251" s="67"/>
      <c r="N251" s="67"/>
    </row>
    <row r="252">
      <c r="A252" s="397"/>
      <c r="B252" s="305"/>
      <c r="C252" s="305"/>
      <c r="D252" s="305"/>
      <c r="E252" s="305"/>
      <c r="F252" s="398"/>
      <c r="G252" s="398"/>
      <c r="H252" s="398"/>
      <c r="I252" s="398"/>
      <c r="K252" s="67"/>
      <c r="L252" s="67"/>
      <c r="M252" s="67"/>
      <c r="N252" s="67"/>
    </row>
    <row r="253">
      <c r="A253" s="397"/>
      <c r="B253" s="305"/>
      <c r="C253" s="305"/>
      <c r="D253" s="305"/>
      <c r="E253" s="305"/>
      <c r="F253" s="398"/>
      <c r="G253" s="398"/>
      <c r="H253" s="398"/>
      <c r="I253" s="398"/>
      <c r="K253" s="67"/>
      <c r="L253" s="67"/>
      <c r="M253" s="67"/>
      <c r="N253" s="67"/>
    </row>
    <row r="254">
      <c r="A254" s="397"/>
      <c r="B254" s="305"/>
      <c r="C254" s="305"/>
      <c r="D254" s="305"/>
      <c r="E254" s="305"/>
      <c r="F254" s="398"/>
      <c r="G254" s="398"/>
      <c r="H254" s="398"/>
      <c r="I254" s="398"/>
      <c r="K254" s="67"/>
      <c r="L254" s="67"/>
      <c r="M254" s="67"/>
      <c r="N254" s="67"/>
    </row>
    <row r="255">
      <c r="A255" s="397"/>
      <c r="B255" s="305"/>
      <c r="C255" s="305"/>
      <c r="D255" s="305"/>
      <c r="E255" s="305"/>
      <c r="F255" s="398"/>
      <c r="G255" s="398"/>
      <c r="H255" s="398"/>
      <c r="I255" s="398"/>
      <c r="K255" s="67"/>
      <c r="L255" s="67"/>
      <c r="M255" s="67"/>
      <c r="N255" s="67"/>
    </row>
    <row r="256">
      <c r="A256" s="397"/>
      <c r="B256" s="305"/>
      <c r="C256" s="305"/>
      <c r="D256" s="305"/>
      <c r="E256" s="305"/>
      <c r="F256" s="398"/>
      <c r="G256" s="398"/>
      <c r="H256" s="398"/>
      <c r="I256" s="398"/>
      <c r="K256" s="67"/>
      <c r="L256" s="67"/>
      <c r="M256" s="67"/>
      <c r="N256" s="67"/>
    </row>
    <row r="257">
      <c r="A257" s="397"/>
      <c r="B257" s="305"/>
      <c r="C257" s="305"/>
      <c r="D257" s="305"/>
      <c r="E257" s="305"/>
      <c r="F257" s="398"/>
      <c r="G257" s="398"/>
      <c r="H257" s="398"/>
      <c r="I257" s="398"/>
      <c r="K257" s="67"/>
      <c r="L257" s="67"/>
      <c r="M257" s="67"/>
      <c r="N257" s="67"/>
    </row>
    <row r="258">
      <c r="A258" s="397"/>
      <c r="B258" s="305"/>
      <c r="C258" s="305"/>
      <c r="D258" s="305"/>
      <c r="E258" s="305"/>
      <c r="F258" s="398"/>
      <c r="G258" s="398"/>
      <c r="H258" s="398"/>
      <c r="I258" s="398"/>
      <c r="K258" s="67"/>
      <c r="L258" s="67"/>
      <c r="M258" s="67"/>
      <c r="N258" s="67"/>
    </row>
    <row r="259">
      <c r="A259" s="397"/>
      <c r="B259" s="305"/>
      <c r="C259" s="305"/>
      <c r="D259" s="305"/>
      <c r="E259" s="305"/>
      <c r="F259" s="398"/>
      <c r="G259" s="398"/>
      <c r="H259" s="398"/>
      <c r="I259" s="398"/>
      <c r="K259" s="67"/>
      <c r="L259" s="67"/>
      <c r="M259" s="67"/>
      <c r="N259" s="67"/>
    </row>
    <row r="260">
      <c r="A260" s="397"/>
      <c r="B260" s="305"/>
      <c r="C260" s="305"/>
      <c r="D260" s="305"/>
      <c r="E260" s="305"/>
      <c r="F260" s="398"/>
      <c r="G260" s="398"/>
      <c r="H260" s="398"/>
      <c r="I260" s="398"/>
      <c r="K260" s="67"/>
      <c r="L260" s="67"/>
      <c r="M260" s="67"/>
      <c r="N260" s="67"/>
    </row>
    <row r="261">
      <c r="A261" s="397"/>
      <c r="B261" s="305"/>
      <c r="C261" s="305"/>
      <c r="D261" s="305"/>
      <c r="E261" s="305"/>
      <c r="F261" s="398"/>
      <c r="G261" s="398"/>
      <c r="H261" s="398"/>
      <c r="I261" s="398"/>
      <c r="K261" s="67"/>
      <c r="L261" s="67"/>
      <c r="M261" s="67"/>
      <c r="N261" s="67"/>
    </row>
    <row r="262">
      <c r="A262" s="397"/>
      <c r="B262" s="305"/>
      <c r="C262" s="305"/>
      <c r="D262" s="305"/>
      <c r="E262" s="305"/>
      <c r="F262" s="398"/>
      <c r="G262" s="398"/>
      <c r="H262" s="398"/>
      <c r="I262" s="398"/>
      <c r="K262" s="67"/>
      <c r="L262" s="67"/>
      <c r="M262" s="67"/>
      <c r="N262" s="67"/>
    </row>
    <row r="263">
      <c r="A263" s="397"/>
      <c r="B263" s="305"/>
      <c r="C263" s="305"/>
      <c r="D263" s="305"/>
      <c r="E263" s="305"/>
      <c r="F263" s="398"/>
      <c r="G263" s="398"/>
      <c r="H263" s="398"/>
      <c r="I263" s="398"/>
      <c r="K263" s="67"/>
      <c r="L263" s="67"/>
      <c r="M263" s="67"/>
      <c r="N263" s="67"/>
    </row>
    <row r="264">
      <c r="A264" s="397"/>
      <c r="B264" s="305"/>
      <c r="C264" s="305"/>
      <c r="D264" s="305"/>
      <c r="E264" s="305"/>
      <c r="F264" s="398"/>
      <c r="G264" s="398"/>
      <c r="H264" s="398"/>
      <c r="I264" s="398"/>
      <c r="K264" s="67"/>
      <c r="L264" s="67"/>
      <c r="M264" s="67"/>
      <c r="N264" s="67"/>
    </row>
    <row r="265">
      <c r="A265" s="397"/>
      <c r="B265" s="305"/>
      <c r="C265" s="305"/>
      <c r="D265" s="305"/>
      <c r="E265" s="305"/>
      <c r="F265" s="398"/>
      <c r="G265" s="398"/>
      <c r="H265" s="398"/>
      <c r="I265" s="398"/>
      <c r="K265" s="67"/>
      <c r="L265" s="67"/>
      <c r="M265" s="67"/>
      <c r="N265" s="67"/>
    </row>
    <row r="266">
      <c r="A266" s="397"/>
      <c r="B266" s="305"/>
      <c r="C266" s="305"/>
      <c r="D266" s="305"/>
      <c r="E266" s="305"/>
      <c r="F266" s="398"/>
      <c r="G266" s="398"/>
      <c r="H266" s="398"/>
      <c r="I266" s="398"/>
      <c r="K266" s="67"/>
      <c r="L266" s="67"/>
      <c r="M266" s="67"/>
      <c r="N266" s="67"/>
    </row>
    <row r="267">
      <c r="A267" s="397"/>
      <c r="B267" s="305"/>
      <c r="C267" s="305"/>
      <c r="D267" s="305"/>
      <c r="E267" s="305"/>
      <c r="F267" s="398"/>
      <c r="G267" s="398"/>
      <c r="H267" s="398"/>
      <c r="I267" s="398"/>
      <c r="K267" s="67"/>
      <c r="L267" s="67"/>
      <c r="M267" s="67"/>
      <c r="N267" s="67"/>
    </row>
    <row r="268">
      <c r="A268" s="397"/>
      <c r="B268" s="305"/>
      <c r="C268" s="305"/>
      <c r="D268" s="305"/>
      <c r="E268" s="305"/>
      <c r="F268" s="398"/>
      <c r="G268" s="398"/>
      <c r="H268" s="398"/>
      <c r="I268" s="398"/>
      <c r="K268" s="67"/>
      <c r="L268" s="67"/>
      <c r="M268" s="67"/>
      <c r="N268" s="67"/>
    </row>
    <row r="269">
      <c r="A269" s="397"/>
      <c r="B269" s="305"/>
      <c r="C269" s="305"/>
      <c r="D269" s="305"/>
      <c r="E269" s="305"/>
      <c r="F269" s="398"/>
      <c r="G269" s="398"/>
      <c r="H269" s="398"/>
      <c r="I269" s="398"/>
      <c r="K269" s="67"/>
      <c r="L269" s="67"/>
      <c r="M269" s="67"/>
      <c r="N269" s="67"/>
    </row>
    <row r="270">
      <c r="A270" s="397"/>
      <c r="B270" s="305"/>
      <c r="C270" s="305"/>
      <c r="D270" s="305"/>
      <c r="E270" s="305"/>
      <c r="F270" s="398"/>
      <c r="G270" s="398"/>
      <c r="H270" s="398"/>
      <c r="I270" s="398"/>
      <c r="K270" s="67"/>
      <c r="L270" s="67"/>
      <c r="M270" s="67"/>
      <c r="N270" s="67"/>
    </row>
    <row r="271">
      <c r="A271" s="397"/>
      <c r="B271" s="305"/>
      <c r="C271" s="305"/>
      <c r="D271" s="305"/>
      <c r="E271" s="305"/>
      <c r="F271" s="398"/>
      <c r="G271" s="398"/>
      <c r="H271" s="398"/>
      <c r="I271" s="398"/>
      <c r="K271" s="67"/>
      <c r="L271" s="67"/>
      <c r="M271" s="67"/>
      <c r="N271" s="67"/>
    </row>
    <row r="272">
      <c r="A272" s="397"/>
      <c r="B272" s="305"/>
      <c r="C272" s="305"/>
      <c r="D272" s="305"/>
      <c r="E272" s="305"/>
      <c r="F272" s="398"/>
      <c r="G272" s="398"/>
      <c r="H272" s="398"/>
      <c r="I272" s="398"/>
      <c r="K272" s="67"/>
      <c r="L272" s="67"/>
      <c r="M272" s="67"/>
      <c r="N272" s="67"/>
    </row>
    <row r="273">
      <c r="A273" s="397"/>
      <c r="B273" s="305"/>
      <c r="C273" s="305"/>
      <c r="D273" s="305"/>
      <c r="E273" s="305"/>
      <c r="F273" s="398"/>
      <c r="G273" s="398"/>
      <c r="H273" s="398"/>
      <c r="I273" s="398"/>
      <c r="K273" s="67"/>
      <c r="L273" s="67"/>
      <c r="M273" s="67"/>
      <c r="N273" s="67"/>
    </row>
    <row r="274">
      <c r="A274" s="397"/>
      <c r="B274" s="305"/>
      <c r="C274" s="305"/>
      <c r="D274" s="305"/>
      <c r="E274" s="305"/>
      <c r="F274" s="398"/>
      <c r="G274" s="398"/>
      <c r="H274" s="398"/>
      <c r="I274" s="398"/>
      <c r="K274" s="67"/>
      <c r="L274" s="67"/>
      <c r="M274" s="67"/>
      <c r="N274" s="67"/>
    </row>
    <row r="275">
      <c r="A275" s="397"/>
      <c r="B275" s="305"/>
      <c r="C275" s="305"/>
      <c r="D275" s="305"/>
      <c r="E275" s="305"/>
      <c r="F275" s="398"/>
      <c r="G275" s="398"/>
      <c r="H275" s="398"/>
      <c r="I275" s="398"/>
      <c r="K275" s="67"/>
      <c r="L275" s="67"/>
      <c r="M275" s="67"/>
      <c r="N275" s="67"/>
    </row>
    <row r="276">
      <c r="A276" s="397"/>
      <c r="B276" s="305"/>
      <c r="C276" s="305"/>
      <c r="D276" s="305"/>
      <c r="E276" s="305"/>
      <c r="F276" s="398"/>
      <c r="G276" s="398"/>
      <c r="H276" s="398"/>
      <c r="I276" s="398"/>
      <c r="K276" s="67"/>
      <c r="L276" s="67"/>
      <c r="M276" s="67"/>
      <c r="N276" s="67"/>
    </row>
    <row r="277">
      <c r="A277" s="397"/>
      <c r="B277" s="305"/>
      <c r="C277" s="305"/>
      <c r="D277" s="305"/>
      <c r="E277" s="305"/>
      <c r="F277" s="398"/>
      <c r="G277" s="398"/>
      <c r="H277" s="398"/>
      <c r="I277" s="398"/>
      <c r="K277" s="67"/>
      <c r="L277" s="67"/>
      <c r="M277" s="67"/>
      <c r="N277" s="67"/>
    </row>
    <row r="278">
      <c r="A278" s="397"/>
      <c r="B278" s="305"/>
      <c r="C278" s="305"/>
      <c r="D278" s="305"/>
      <c r="E278" s="305"/>
      <c r="F278" s="398"/>
      <c r="G278" s="398"/>
      <c r="H278" s="398"/>
      <c r="I278" s="398"/>
      <c r="K278" s="67"/>
      <c r="L278" s="67"/>
      <c r="M278" s="67"/>
      <c r="N278" s="67"/>
    </row>
    <row r="279">
      <c r="A279" s="397"/>
      <c r="B279" s="305"/>
      <c r="C279" s="305"/>
      <c r="D279" s="305"/>
      <c r="E279" s="305"/>
      <c r="F279" s="398"/>
      <c r="G279" s="398"/>
      <c r="H279" s="398"/>
      <c r="I279" s="398"/>
      <c r="K279" s="67"/>
      <c r="L279" s="67"/>
      <c r="M279" s="67"/>
      <c r="N279" s="67"/>
    </row>
    <row r="280">
      <c r="A280" s="397"/>
      <c r="B280" s="305"/>
      <c r="C280" s="305"/>
      <c r="D280" s="305"/>
      <c r="E280" s="305"/>
      <c r="F280" s="398"/>
      <c r="G280" s="398"/>
      <c r="H280" s="398"/>
      <c r="I280" s="398"/>
      <c r="K280" s="67"/>
      <c r="L280" s="67"/>
      <c r="M280" s="67"/>
      <c r="N280" s="67"/>
    </row>
    <row r="281">
      <c r="A281" s="397"/>
      <c r="B281" s="305"/>
      <c r="C281" s="305"/>
      <c r="D281" s="305"/>
      <c r="E281" s="305"/>
      <c r="F281" s="398"/>
      <c r="G281" s="398"/>
      <c r="H281" s="398"/>
      <c r="I281" s="398"/>
      <c r="K281" s="67"/>
      <c r="L281" s="67"/>
      <c r="M281" s="67"/>
      <c r="N281" s="67"/>
    </row>
    <row r="282">
      <c r="A282" s="397"/>
      <c r="B282" s="305"/>
      <c r="C282" s="305"/>
      <c r="D282" s="305"/>
      <c r="E282" s="305"/>
      <c r="F282" s="398"/>
      <c r="G282" s="398"/>
      <c r="H282" s="398"/>
      <c r="I282" s="398"/>
      <c r="K282" s="67"/>
      <c r="L282" s="67"/>
      <c r="M282" s="67"/>
      <c r="N282" s="67"/>
    </row>
    <row r="283">
      <c r="A283" s="397"/>
      <c r="B283" s="305"/>
      <c r="C283" s="305"/>
      <c r="D283" s="305"/>
      <c r="E283" s="305"/>
      <c r="F283" s="398"/>
      <c r="G283" s="398"/>
      <c r="H283" s="398"/>
      <c r="I283" s="398"/>
      <c r="K283" s="67"/>
      <c r="L283" s="67"/>
      <c r="M283" s="67"/>
      <c r="N283" s="67"/>
    </row>
    <row r="284">
      <c r="A284" s="397"/>
      <c r="B284" s="305"/>
      <c r="C284" s="305"/>
      <c r="D284" s="305"/>
      <c r="E284" s="305"/>
      <c r="F284" s="398"/>
      <c r="G284" s="398"/>
      <c r="H284" s="398"/>
      <c r="I284" s="398"/>
      <c r="K284" s="67"/>
      <c r="L284" s="67"/>
      <c r="M284" s="67"/>
      <c r="N284" s="67"/>
    </row>
    <row r="285">
      <c r="A285" s="397"/>
      <c r="B285" s="305"/>
      <c r="C285" s="305"/>
      <c r="D285" s="305"/>
      <c r="E285" s="305"/>
      <c r="F285" s="398"/>
      <c r="G285" s="398"/>
      <c r="H285" s="398"/>
      <c r="I285" s="398"/>
      <c r="K285" s="67"/>
      <c r="L285" s="67"/>
      <c r="M285" s="67"/>
      <c r="N285" s="67"/>
    </row>
    <row r="286">
      <c r="A286" s="397"/>
      <c r="B286" s="305"/>
      <c r="C286" s="305"/>
      <c r="D286" s="305"/>
      <c r="E286" s="305"/>
      <c r="F286" s="398"/>
      <c r="G286" s="398"/>
      <c r="H286" s="398"/>
      <c r="I286" s="398"/>
      <c r="K286" s="67"/>
      <c r="L286" s="67"/>
      <c r="M286" s="67"/>
      <c r="N286" s="67"/>
    </row>
    <row r="287">
      <c r="A287" s="397"/>
      <c r="B287" s="305"/>
      <c r="C287" s="305"/>
      <c r="D287" s="305"/>
      <c r="E287" s="305"/>
      <c r="F287" s="398"/>
      <c r="G287" s="398"/>
      <c r="H287" s="398"/>
      <c r="I287" s="398"/>
      <c r="K287" s="67"/>
      <c r="L287" s="67"/>
      <c r="M287" s="67"/>
      <c r="N287" s="67"/>
    </row>
    <row r="288">
      <c r="A288" s="397"/>
      <c r="B288" s="305"/>
      <c r="C288" s="305"/>
      <c r="D288" s="305"/>
      <c r="E288" s="305"/>
      <c r="F288" s="398"/>
      <c r="G288" s="398"/>
      <c r="H288" s="398"/>
      <c r="I288" s="398"/>
      <c r="K288" s="67"/>
      <c r="L288" s="67"/>
      <c r="M288" s="67"/>
      <c r="N288" s="67"/>
    </row>
    <row r="289">
      <c r="A289" s="397"/>
      <c r="B289" s="305"/>
      <c r="C289" s="305"/>
      <c r="D289" s="305"/>
      <c r="E289" s="305"/>
      <c r="F289" s="398"/>
      <c r="G289" s="398"/>
      <c r="H289" s="398"/>
      <c r="I289" s="398"/>
      <c r="K289" s="67"/>
      <c r="L289" s="67"/>
      <c r="M289" s="67"/>
      <c r="N289" s="67"/>
    </row>
    <row r="290">
      <c r="A290" s="397"/>
      <c r="B290" s="305"/>
      <c r="C290" s="305"/>
      <c r="D290" s="305"/>
      <c r="E290" s="305"/>
      <c r="F290" s="398"/>
      <c r="G290" s="398"/>
      <c r="H290" s="398"/>
      <c r="I290" s="398"/>
      <c r="K290" s="67"/>
      <c r="L290" s="67"/>
      <c r="M290" s="67"/>
      <c r="N290" s="67"/>
    </row>
    <row r="291">
      <c r="A291" s="397"/>
      <c r="B291" s="305"/>
      <c r="C291" s="305"/>
      <c r="D291" s="305"/>
      <c r="E291" s="305"/>
      <c r="F291" s="398"/>
      <c r="G291" s="398"/>
      <c r="H291" s="398"/>
      <c r="I291" s="398"/>
      <c r="K291" s="67"/>
      <c r="L291" s="67"/>
      <c r="M291" s="67"/>
      <c r="N291" s="67"/>
    </row>
    <row r="292">
      <c r="A292" s="397"/>
      <c r="B292" s="305"/>
      <c r="C292" s="305"/>
      <c r="D292" s="305"/>
      <c r="E292" s="305"/>
      <c r="F292" s="398"/>
      <c r="G292" s="398"/>
      <c r="H292" s="398"/>
      <c r="I292" s="398"/>
      <c r="K292" s="67"/>
      <c r="L292" s="67"/>
      <c r="M292" s="67"/>
      <c r="N292" s="67"/>
    </row>
    <row r="293">
      <c r="A293" s="397"/>
      <c r="B293" s="305"/>
      <c r="C293" s="305"/>
      <c r="D293" s="305"/>
      <c r="E293" s="305"/>
      <c r="F293" s="398"/>
      <c r="G293" s="398"/>
      <c r="H293" s="398"/>
      <c r="I293" s="398"/>
      <c r="K293" s="67"/>
      <c r="L293" s="67"/>
      <c r="M293" s="67"/>
      <c r="N293" s="67"/>
    </row>
    <row r="294">
      <c r="A294" s="397"/>
      <c r="B294" s="305"/>
      <c r="C294" s="305"/>
      <c r="D294" s="305"/>
      <c r="E294" s="305"/>
      <c r="F294" s="398"/>
      <c r="G294" s="398"/>
      <c r="H294" s="398"/>
      <c r="I294" s="398"/>
      <c r="K294" s="67"/>
      <c r="L294" s="67"/>
      <c r="M294" s="67"/>
      <c r="N294" s="67"/>
    </row>
    <row r="295">
      <c r="A295" s="397"/>
      <c r="B295" s="305"/>
      <c r="C295" s="305"/>
      <c r="D295" s="305"/>
      <c r="E295" s="305"/>
      <c r="F295" s="398"/>
      <c r="G295" s="398"/>
      <c r="H295" s="398"/>
      <c r="I295" s="398"/>
      <c r="K295" s="67"/>
      <c r="L295" s="67"/>
      <c r="M295" s="67"/>
      <c r="N295" s="67"/>
    </row>
    <row r="296">
      <c r="A296" s="397"/>
      <c r="B296" s="305"/>
      <c r="C296" s="305"/>
      <c r="D296" s="305"/>
      <c r="E296" s="305"/>
      <c r="F296" s="398"/>
      <c r="G296" s="398"/>
      <c r="H296" s="398"/>
      <c r="I296" s="398"/>
      <c r="K296" s="67"/>
      <c r="L296" s="67"/>
      <c r="M296" s="67"/>
      <c r="N296" s="67"/>
    </row>
    <row r="297">
      <c r="A297" s="397"/>
      <c r="B297" s="305"/>
      <c r="C297" s="305"/>
      <c r="D297" s="305"/>
      <c r="E297" s="305"/>
      <c r="F297" s="398"/>
      <c r="G297" s="398"/>
      <c r="H297" s="398"/>
      <c r="I297" s="398"/>
      <c r="K297" s="67"/>
      <c r="L297" s="67"/>
      <c r="M297" s="67"/>
      <c r="N297" s="67"/>
    </row>
    <row r="298">
      <c r="A298" s="397"/>
      <c r="B298" s="305"/>
      <c r="C298" s="305"/>
      <c r="D298" s="305"/>
      <c r="E298" s="305"/>
      <c r="F298" s="398"/>
      <c r="G298" s="398"/>
      <c r="H298" s="398"/>
      <c r="I298" s="398"/>
      <c r="K298" s="67"/>
      <c r="L298" s="67"/>
      <c r="M298" s="67"/>
      <c r="N298" s="67"/>
    </row>
    <row r="299">
      <c r="A299" s="397"/>
      <c r="B299" s="305"/>
      <c r="C299" s="305"/>
      <c r="D299" s="305"/>
      <c r="E299" s="305"/>
      <c r="F299" s="398"/>
      <c r="G299" s="398"/>
      <c r="H299" s="398"/>
      <c r="I299" s="398"/>
      <c r="K299" s="67"/>
      <c r="L299" s="67"/>
      <c r="M299" s="67"/>
      <c r="N299" s="67"/>
    </row>
    <row r="300">
      <c r="A300" s="397"/>
      <c r="B300" s="305"/>
      <c r="C300" s="305"/>
      <c r="D300" s="305"/>
      <c r="E300" s="305"/>
      <c r="F300" s="398"/>
      <c r="G300" s="398"/>
      <c r="H300" s="398"/>
      <c r="I300" s="398"/>
      <c r="K300" s="67"/>
      <c r="L300" s="67"/>
      <c r="M300" s="67"/>
      <c r="N300" s="67"/>
    </row>
    <row r="301">
      <c r="A301" s="397"/>
      <c r="B301" s="305"/>
      <c r="C301" s="305"/>
      <c r="D301" s="305"/>
      <c r="E301" s="305"/>
      <c r="F301" s="398"/>
      <c r="G301" s="398"/>
      <c r="H301" s="398"/>
      <c r="I301" s="398"/>
      <c r="K301" s="67"/>
      <c r="L301" s="67"/>
      <c r="M301" s="67"/>
      <c r="N301" s="67"/>
    </row>
    <row r="302">
      <c r="A302" s="397"/>
      <c r="B302" s="305"/>
      <c r="C302" s="305"/>
      <c r="D302" s="305"/>
      <c r="E302" s="305"/>
      <c r="F302" s="398"/>
      <c r="G302" s="398"/>
      <c r="H302" s="398"/>
      <c r="I302" s="398"/>
      <c r="K302" s="67"/>
      <c r="L302" s="67"/>
      <c r="M302" s="67"/>
      <c r="N302" s="67"/>
    </row>
    <row r="303">
      <c r="A303" s="397"/>
      <c r="B303" s="305"/>
      <c r="C303" s="305"/>
      <c r="D303" s="305"/>
      <c r="E303" s="305"/>
      <c r="F303" s="398"/>
      <c r="G303" s="398"/>
      <c r="H303" s="398"/>
      <c r="I303" s="398"/>
      <c r="K303" s="67"/>
      <c r="L303" s="67"/>
      <c r="M303" s="67"/>
      <c r="N303" s="67"/>
    </row>
    <row r="304">
      <c r="A304" s="397"/>
      <c r="B304" s="305"/>
      <c r="C304" s="305"/>
      <c r="D304" s="305"/>
      <c r="E304" s="305"/>
      <c r="F304" s="398"/>
      <c r="G304" s="398"/>
      <c r="H304" s="398"/>
      <c r="I304" s="398"/>
      <c r="K304" s="67"/>
      <c r="L304" s="67"/>
      <c r="M304" s="67"/>
      <c r="N304" s="67"/>
    </row>
    <row r="305">
      <c r="A305" s="397"/>
      <c r="B305" s="305"/>
      <c r="C305" s="305"/>
      <c r="D305" s="305"/>
      <c r="E305" s="305"/>
      <c r="F305" s="398"/>
      <c r="G305" s="398"/>
      <c r="H305" s="398"/>
      <c r="I305" s="398"/>
      <c r="K305" s="67"/>
      <c r="L305" s="67"/>
      <c r="M305" s="67"/>
      <c r="N305" s="67"/>
    </row>
    <row r="306">
      <c r="A306" s="397"/>
      <c r="B306" s="305"/>
      <c r="C306" s="305"/>
      <c r="D306" s="305"/>
      <c r="E306" s="305"/>
      <c r="F306" s="398"/>
      <c r="G306" s="398"/>
      <c r="H306" s="398"/>
      <c r="I306" s="398"/>
      <c r="K306" s="67"/>
      <c r="L306" s="67"/>
      <c r="M306" s="67"/>
      <c r="N306" s="67"/>
    </row>
    <row r="307">
      <c r="A307" s="397"/>
      <c r="B307" s="305"/>
      <c r="C307" s="305"/>
      <c r="D307" s="305"/>
      <c r="E307" s="305"/>
      <c r="F307" s="398"/>
      <c r="G307" s="398"/>
      <c r="H307" s="398"/>
      <c r="I307" s="398"/>
      <c r="K307" s="67"/>
      <c r="L307" s="67"/>
      <c r="M307" s="67"/>
      <c r="N307" s="67"/>
    </row>
    <row r="308">
      <c r="A308" s="397"/>
      <c r="B308" s="305"/>
      <c r="C308" s="305"/>
      <c r="D308" s="305"/>
      <c r="E308" s="305"/>
      <c r="F308" s="398"/>
      <c r="G308" s="398"/>
      <c r="H308" s="398"/>
      <c r="I308" s="398"/>
      <c r="K308" s="67"/>
      <c r="L308" s="67"/>
      <c r="M308" s="67"/>
      <c r="N308" s="67"/>
    </row>
    <row r="309">
      <c r="A309" s="397"/>
      <c r="B309" s="305"/>
      <c r="C309" s="305"/>
      <c r="D309" s="305"/>
      <c r="E309" s="305"/>
      <c r="F309" s="398"/>
      <c r="G309" s="398"/>
      <c r="H309" s="398"/>
      <c r="I309" s="398"/>
      <c r="K309" s="67"/>
      <c r="L309" s="67"/>
      <c r="M309" s="67"/>
      <c r="N309" s="67"/>
    </row>
    <row r="310">
      <c r="A310" s="397"/>
      <c r="B310" s="305"/>
      <c r="C310" s="305"/>
      <c r="D310" s="305"/>
      <c r="E310" s="305"/>
      <c r="F310" s="398"/>
      <c r="G310" s="398"/>
      <c r="H310" s="398"/>
      <c r="I310" s="398"/>
      <c r="K310" s="67"/>
      <c r="L310" s="67"/>
      <c r="M310" s="67"/>
      <c r="N310" s="67"/>
    </row>
    <row r="311">
      <c r="A311" s="397"/>
      <c r="B311" s="305"/>
      <c r="C311" s="305"/>
      <c r="D311" s="305"/>
      <c r="E311" s="305"/>
      <c r="F311" s="398"/>
      <c r="G311" s="398"/>
      <c r="H311" s="398"/>
      <c r="I311" s="398"/>
      <c r="K311" s="67"/>
      <c r="L311" s="67"/>
      <c r="M311" s="67"/>
      <c r="N311" s="67"/>
    </row>
    <row r="312">
      <c r="A312" s="397"/>
      <c r="B312" s="305"/>
      <c r="C312" s="305"/>
      <c r="D312" s="305"/>
      <c r="E312" s="305"/>
      <c r="F312" s="398"/>
      <c r="G312" s="398"/>
      <c r="H312" s="398"/>
      <c r="I312" s="398"/>
      <c r="K312" s="67"/>
      <c r="L312" s="67"/>
      <c r="M312" s="67"/>
      <c r="N312" s="67"/>
    </row>
    <row r="313">
      <c r="A313" s="397"/>
      <c r="B313" s="305"/>
      <c r="C313" s="305"/>
      <c r="D313" s="305"/>
      <c r="E313" s="305"/>
      <c r="F313" s="398"/>
      <c r="G313" s="398"/>
      <c r="H313" s="398"/>
      <c r="I313" s="398"/>
      <c r="K313" s="67"/>
      <c r="L313" s="67"/>
      <c r="M313" s="67"/>
      <c r="N313" s="67"/>
    </row>
    <row r="314">
      <c r="A314" s="397"/>
      <c r="B314" s="305"/>
      <c r="C314" s="305"/>
      <c r="D314" s="305"/>
      <c r="E314" s="305"/>
      <c r="F314" s="398"/>
      <c r="G314" s="398"/>
      <c r="H314" s="398"/>
      <c r="I314" s="398"/>
      <c r="K314" s="67"/>
      <c r="L314" s="67"/>
      <c r="M314" s="67"/>
      <c r="N314" s="67"/>
    </row>
    <row r="315">
      <c r="A315" s="397"/>
      <c r="B315" s="305"/>
      <c r="C315" s="305"/>
      <c r="D315" s="305"/>
      <c r="E315" s="305"/>
      <c r="F315" s="398"/>
      <c r="G315" s="398"/>
      <c r="H315" s="398"/>
      <c r="I315" s="398"/>
      <c r="K315" s="67"/>
      <c r="L315" s="67"/>
      <c r="M315" s="67"/>
      <c r="N315" s="67"/>
    </row>
    <row r="316">
      <c r="A316" s="397"/>
      <c r="B316" s="305"/>
      <c r="C316" s="305"/>
      <c r="D316" s="305"/>
      <c r="E316" s="305"/>
      <c r="F316" s="398"/>
      <c r="G316" s="398"/>
      <c r="H316" s="398"/>
      <c r="I316" s="398"/>
      <c r="K316" s="67"/>
      <c r="L316" s="67"/>
      <c r="M316" s="67"/>
      <c r="N316" s="67"/>
    </row>
    <row r="317">
      <c r="A317" s="397"/>
      <c r="B317" s="305"/>
      <c r="C317" s="305"/>
      <c r="D317" s="305"/>
      <c r="E317" s="305"/>
      <c r="F317" s="398"/>
      <c r="G317" s="398"/>
      <c r="H317" s="398"/>
      <c r="I317" s="398"/>
      <c r="K317" s="67"/>
      <c r="L317" s="67"/>
      <c r="M317" s="67"/>
      <c r="N317" s="67"/>
    </row>
    <row r="318">
      <c r="A318" s="397"/>
      <c r="B318" s="305"/>
      <c r="C318" s="305"/>
      <c r="D318" s="305"/>
      <c r="E318" s="305"/>
      <c r="F318" s="398"/>
      <c r="G318" s="398"/>
      <c r="H318" s="398"/>
      <c r="I318" s="398"/>
      <c r="K318" s="67"/>
      <c r="L318" s="67"/>
      <c r="M318" s="67"/>
      <c r="N318" s="67"/>
    </row>
    <row r="319">
      <c r="A319" s="397"/>
      <c r="B319" s="305"/>
      <c r="C319" s="305"/>
      <c r="D319" s="305"/>
      <c r="E319" s="305"/>
      <c r="F319" s="398"/>
      <c r="G319" s="398"/>
      <c r="H319" s="398"/>
      <c r="I319" s="398"/>
      <c r="K319" s="67"/>
      <c r="L319" s="67"/>
      <c r="M319" s="67"/>
      <c r="N319" s="67"/>
    </row>
    <row r="320">
      <c r="A320" s="397"/>
      <c r="B320" s="305"/>
      <c r="C320" s="305"/>
      <c r="D320" s="305"/>
      <c r="E320" s="305"/>
      <c r="F320" s="398"/>
      <c r="G320" s="398"/>
      <c r="H320" s="398"/>
      <c r="I320" s="398"/>
      <c r="K320" s="67"/>
      <c r="L320" s="67"/>
      <c r="M320" s="67"/>
      <c r="N320" s="67"/>
    </row>
    <row r="321">
      <c r="A321" s="397"/>
      <c r="B321" s="305"/>
      <c r="C321" s="305"/>
      <c r="D321" s="305"/>
      <c r="E321" s="305"/>
      <c r="F321" s="398"/>
      <c r="G321" s="398"/>
      <c r="H321" s="398"/>
      <c r="I321" s="398"/>
      <c r="K321" s="67"/>
      <c r="L321" s="67"/>
      <c r="M321" s="67"/>
      <c r="N321" s="67"/>
    </row>
    <row r="322">
      <c r="A322" s="397"/>
      <c r="B322" s="305"/>
      <c r="C322" s="305"/>
      <c r="D322" s="305"/>
      <c r="E322" s="305"/>
      <c r="F322" s="398"/>
      <c r="G322" s="398"/>
      <c r="H322" s="398"/>
      <c r="I322" s="398"/>
      <c r="K322" s="67"/>
      <c r="L322" s="67"/>
      <c r="M322" s="67"/>
      <c r="N322" s="67"/>
    </row>
    <row r="323">
      <c r="A323" s="397"/>
      <c r="B323" s="305"/>
      <c r="C323" s="305"/>
      <c r="D323" s="305"/>
      <c r="E323" s="305"/>
      <c r="F323" s="398"/>
      <c r="G323" s="398"/>
      <c r="H323" s="398"/>
      <c r="I323" s="398"/>
      <c r="K323" s="67"/>
      <c r="L323" s="67"/>
      <c r="M323" s="67"/>
      <c r="N323" s="67"/>
    </row>
    <row r="324">
      <c r="A324" s="397"/>
      <c r="B324" s="305"/>
      <c r="C324" s="305"/>
      <c r="D324" s="305"/>
      <c r="E324" s="305"/>
      <c r="F324" s="398"/>
      <c r="G324" s="398"/>
      <c r="H324" s="398"/>
      <c r="I324" s="398"/>
      <c r="K324" s="67"/>
      <c r="L324" s="67"/>
      <c r="M324" s="67"/>
      <c r="N324" s="67"/>
    </row>
    <row r="325">
      <c r="A325" s="397"/>
      <c r="B325" s="305"/>
      <c r="C325" s="305"/>
      <c r="D325" s="305"/>
      <c r="E325" s="305"/>
      <c r="F325" s="398"/>
      <c r="G325" s="398"/>
      <c r="H325" s="398"/>
      <c r="I325" s="398"/>
      <c r="K325" s="67"/>
      <c r="L325" s="67"/>
      <c r="M325" s="67"/>
      <c r="N325" s="67"/>
    </row>
    <row r="326">
      <c r="A326" s="397"/>
      <c r="B326" s="305"/>
      <c r="C326" s="305"/>
      <c r="D326" s="305"/>
      <c r="E326" s="305"/>
      <c r="F326" s="398"/>
      <c r="G326" s="398"/>
      <c r="H326" s="398"/>
      <c r="I326" s="398"/>
      <c r="K326" s="67"/>
      <c r="L326" s="67"/>
      <c r="M326" s="67"/>
      <c r="N326" s="67"/>
    </row>
    <row r="327">
      <c r="A327" s="397"/>
      <c r="B327" s="305"/>
      <c r="C327" s="305"/>
      <c r="D327" s="305"/>
      <c r="E327" s="305"/>
      <c r="F327" s="398"/>
      <c r="G327" s="398"/>
      <c r="H327" s="398"/>
      <c r="I327" s="398"/>
      <c r="K327" s="67"/>
      <c r="L327" s="67"/>
      <c r="M327" s="67"/>
      <c r="N327" s="67"/>
    </row>
    <row r="328">
      <c r="A328" s="397"/>
      <c r="B328" s="305"/>
      <c r="C328" s="305"/>
      <c r="D328" s="305"/>
      <c r="E328" s="305"/>
      <c r="F328" s="398"/>
      <c r="G328" s="398"/>
      <c r="H328" s="398"/>
      <c r="I328" s="398"/>
      <c r="K328" s="67"/>
      <c r="L328" s="67"/>
      <c r="M328" s="67"/>
      <c r="N328" s="67"/>
    </row>
    <row r="329">
      <c r="A329" s="397"/>
      <c r="B329" s="305"/>
      <c r="C329" s="305"/>
      <c r="D329" s="305"/>
      <c r="E329" s="305"/>
      <c r="F329" s="398"/>
      <c r="G329" s="398"/>
      <c r="H329" s="398"/>
      <c r="I329" s="398"/>
      <c r="K329" s="67"/>
      <c r="L329" s="67"/>
      <c r="M329" s="67"/>
      <c r="N329" s="67"/>
    </row>
    <row r="330">
      <c r="A330" s="397"/>
      <c r="B330" s="305"/>
      <c r="C330" s="305"/>
      <c r="D330" s="305"/>
      <c r="E330" s="305"/>
      <c r="F330" s="398"/>
      <c r="G330" s="398"/>
      <c r="H330" s="398"/>
      <c r="I330" s="398"/>
      <c r="K330" s="67"/>
      <c r="L330" s="67"/>
      <c r="M330" s="67"/>
      <c r="N330" s="67"/>
    </row>
    <row r="331">
      <c r="A331" s="397"/>
      <c r="B331" s="305"/>
      <c r="C331" s="305"/>
      <c r="D331" s="305"/>
      <c r="E331" s="305"/>
      <c r="F331" s="398"/>
      <c r="G331" s="398"/>
      <c r="H331" s="398"/>
      <c r="I331" s="398"/>
      <c r="K331" s="67"/>
      <c r="L331" s="67"/>
      <c r="M331" s="67"/>
      <c r="N331" s="67"/>
    </row>
    <row r="332">
      <c r="A332" s="397"/>
      <c r="B332" s="305"/>
      <c r="C332" s="305"/>
      <c r="D332" s="305"/>
      <c r="E332" s="305"/>
      <c r="F332" s="398"/>
      <c r="G332" s="398"/>
      <c r="H332" s="398"/>
      <c r="I332" s="398"/>
      <c r="K332" s="67"/>
      <c r="L332" s="67"/>
      <c r="M332" s="67"/>
      <c r="N332" s="67"/>
    </row>
    <row r="333">
      <c r="A333" s="397"/>
      <c r="B333" s="305"/>
      <c r="C333" s="305"/>
      <c r="D333" s="305"/>
      <c r="E333" s="305"/>
      <c r="F333" s="398"/>
      <c r="G333" s="398"/>
      <c r="H333" s="398"/>
      <c r="I333" s="398"/>
      <c r="K333" s="67"/>
      <c r="L333" s="67"/>
      <c r="M333" s="67"/>
      <c r="N333" s="67"/>
    </row>
    <row r="334">
      <c r="A334" s="397"/>
      <c r="B334" s="305"/>
      <c r="C334" s="305"/>
      <c r="D334" s="305"/>
      <c r="E334" s="305"/>
      <c r="F334" s="398"/>
      <c r="G334" s="398"/>
      <c r="H334" s="398"/>
      <c r="I334" s="398"/>
      <c r="K334" s="67"/>
      <c r="L334" s="67"/>
      <c r="M334" s="67"/>
      <c r="N334" s="67"/>
    </row>
    <row r="335">
      <c r="A335" s="397"/>
      <c r="B335" s="305"/>
      <c r="C335" s="305"/>
      <c r="D335" s="305"/>
      <c r="E335" s="305"/>
      <c r="F335" s="398"/>
      <c r="G335" s="398"/>
      <c r="H335" s="398"/>
      <c r="I335" s="398"/>
      <c r="K335" s="67"/>
      <c r="L335" s="67"/>
      <c r="M335" s="67"/>
      <c r="N335" s="67"/>
    </row>
    <row r="336">
      <c r="A336" s="397"/>
      <c r="B336" s="305"/>
      <c r="C336" s="305"/>
      <c r="D336" s="305"/>
      <c r="E336" s="305"/>
      <c r="F336" s="398"/>
      <c r="G336" s="398"/>
      <c r="H336" s="398"/>
      <c r="I336" s="398"/>
      <c r="K336" s="67"/>
      <c r="L336" s="67"/>
      <c r="M336" s="67"/>
      <c r="N336" s="67"/>
    </row>
    <row r="337">
      <c r="A337" s="397"/>
      <c r="B337" s="305"/>
      <c r="C337" s="305"/>
      <c r="D337" s="305"/>
      <c r="E337" s="305"/>
      <c r="F337" s="398"/>
      <c r="G337" s="398"/>
      <c r="H337" s="398"/>
      <c r="I337" s="398"/>
      <c r="K337" s="67"/>
      <c r="L337" s="67"/>
      <c r="M337" s="67"/>
      <c r="N337" s="67"/>
    </row>
    <row r="338">
      <c r="A338" s="397"/>
      <c r="B338" s="305"/>
      <c r="C338" s="305"/>
      <c r="D338" s="305"/>
      <c r="E338" s="305"/>
      <c r="F338" s="398"/>
      <c r="G338" s="398"/>
      <c r="H338" s="398"/>
      <c r="I338" s="398"/>
      <c r="K338" s="67"/>
      <c r="L338" s="67"/>
      <c r="M338" s="67"/>
      <c r="N338" s="67"/>
    </row>
    <row r="339">
      <c r="A339" s="397"/>
      <c r="B339" s="305"/>
      <c r="C339" s="305"/>
      <c r="D339" s="305"/>
      <c r="E339" s="305"/>
      <c r="F339" s="398"/>
      <c r="G339" s="398"/>
      <c r="H339" s="398"/>
      <c r="I339" s="398"/>
      <c r="K339" s="67"/>
      <c r="L339" s="67"/>
      <c r="M339" s="67"/>
      <c r="N339" s="67"/>
    </row>
    <row r="340">
      <c r="A340" s="397"/>
      <c r="B340" s="305"/>
      <c r="C340" s="305"/>
      <c r="D340" s="305"/>
      <c r="E340" s="305"/>
      <c r="F340" s="398"/>
      <c r="G340" s="398"/>
      <c r="H340" s="398"/>
      <c r="I340" s="398"/>
      <c r="K340" s="67"/>
      <c r="L340" s="67"/>
      <c r="M340" s="67"/>
      <c r="N340" s="67"/>
    </row>
    <row r="341">
      <c r="A341" s="397"/>
      <c r="B341" s="305"/>
      <c r="C341" s="305"/>
      <c r="D341" s="305"/>
      <c r="E341" s="305"/>
      <c r="F341" s="398"/>
      <c r="G341" s="398"/>
      <c r="H341" s="398"/>
      <c r="I341" s="398"/>
      <c r="K341" s="67"/>
      <c r="L341" s="67"/>
      <c r="M341" s="67"/>
      <c r="N341" s="67"/>
    </row>
    <row r="342">
      <c r="A342" s="397"/>
      <c r="B342" s="305"/>
      <c r="C342" s="305"/>
      <c r="D342" s="305"/>
      <c r="E342" s="305"/>
      <c r="F342" s="398"/>
      <c r="G342" s="398"/>
      <c r="H342" s="398"/>
      <c r="I342" s="398"/>
      <c r="K342" s="67"/>
      <c r="L342" s="67"/>
      <c r="M342" s="67"/>
      <c r="N342" s="67"/>
    </row>
    <row r="343">
      <c r="A343" s="397"/>
      <c r="B343" s="305"/>
      <c r="C343" s="305"/>
      <c r="D343" s="305"/>
      <c r="E343" s="305"/>
      <c r="F343" s="398"/>
      <c r="G343" s="398"/>
      <c r="H343" s="398"/>
      <c r="I343" s="398"/>
      <c r="K343" s="67"/>
      <c r="L343" s="67"/>
      <c r="M343" s="67"/>
      <c r="N343" s="67"/>
    </row>
    <row r="344">
      <c r="A344" s="397"/>
      <c r="B344" s="305"/>
      <c r="C344" s="305"/>
      <c r="D344" s="305"/>
      <c r="E344" s="305"/>
      <c r="F344" s="398"/>
      <c r="G344" s="398"/>
      <c r="H344" s="398"/>
      <c r="I344" s="398"/>
      <c r="K344" s="67"/>
      <c r="L344" s="67"/>
      <c r="M344" s="67"/>
      <c r="N344" s="67"/>
    </row>
    <row r="345">
      <c r="A345" s="397"/>
      <c r="B345" s="305"/>
      <c r="C345" s="305"/>
      <c r="D345" s="305"/>
      <c r="E345" s="305"/>
      <c r="F345" s="398"/>
      <c r="G345" s="398"/>
      <c r="H345" s="398"/>
      <c r="I345" s="398"/>
      <c r="K345" s="67"/>
      <c r="L345" s="67"/>
      <c r="M345" s="67"/>
      <c r="N345" s="67"/>
    </row>
    <row r="346">
      <c r="A346" s="397"/>
      <c r="B346" s="305"/>
      <c r="C346" s="305"/>
      <c r="D346" s="305"/>
      <c r="E346" s="305"/>
      <c r="F346" s="398"/>
      <c r="G346" s="398"/>
      <c r="H346" s="398"/>
      <c r="I346" s="398"/>
      <c r="K346" s="67"/>
      <c r="L346" s="67"/>
      <c r="M346" s="67"/>
      <c r="N346" s="67"/>
    </row>
    <row r="347">
      <c r="A347" s="397"/>
      <c r="B347" s="305"/>
      <c r="C347" s="305"/>
      <c r="D347" s="305"/>
      <c r="E347" s="305"/>
      <c r="F347" s="398"/>
      <c r="G347" s="398"/>
      <c r="H347" s="398"/>
      <c r="I347" s="398"/>
      <c r="K347" s="67"/>
      <c r="L347" s="67"/>
      <c r="M347" s="67"/>
      <c r="N347" s="67"/>
    </row>
    <row r="348">
      <c r="A348" s="397"/>
      <c r="B348" s="305"/>
      <c r="C348" s="305"/>
      <c r="D348" s="305"/>
      <c r="E348" s="305"/>
      <c r="F348" s="398"/>
      <c r="G348" s="398"/>
      <c r="H348" s="398"/>
      <c r="I348" s="398"/>
      <c r="K348" s="67"/>
      <c r="L348" s="67"/>
      <c r="M348" s="67"/>
      <c r="N348" s="67"/>
    </row>
    <row r="349">
      <c r="A349" s="397"/>
      <c r="B349" s="305"/>
      <c r="C349" s="305"/>
      <c r="D349" s="305"/>
      <c r="E349" s="305"/>
      <c r="F349" s="398"/>
      <c r="G349" s="398"/>
      <c r="H349" s="398"/>
      <c r="I349" s="398"/>
      <c r="K349" s="67"/>
      <c r="L349" s="67"/>
      <c r="M349" s="67"/>
      <c r="N349" s="67"/>
    </row>
    <row r="350">
      <c r="A350" s="397"/>
      <c r="B350" s="305"/>
      <c r="C350" s="305"/>
      <c r="D350" s="305"/>
      <c r="E350" s="305"/>
      <c r="F350" s="398"/>
      <c r="G350" s="398"/>
      <c r="H350" s="398"/>
      <c r="I350" s="398"/>
      <c r="K350" s="67"/>
      <c r="L350" s="67"/>
      <c r="M350" s="67"/>
      <c r="N350" s="67"/>
    </row>
    <row r="351">
      <c r="A351" s="397"/>
      <c r="B351" s="305"/>
      <c r="C351" s="305"/>
      <c r="D351" s="305"/>
      <c r="E351" s="305"/>
      <c r="F351" s="398"/>
      <c r="G351" s="398"/>
      <c r="H351" s="398"/>
      <c r="I351" s="398"/>
      <c r="K351" s="67"/>
      <c r="L351" s="67"/>
      <c r="M351" s="67"/>
      <c r="N351" s="67"/>
    </row>
    <row r="352">
      <c r="A352" s="397"/>
      <c r="B352" s="305"/>
      <c r="C352" s="305"/>
      <c r="D352" s="305"/>
      <c r="E352" s="305"/>
      <c r="F352" s="398"/>
      <c r="G352" s="398"/>
      <c r="H352" s="398"/>
      <c r="I352" s="398"/>
      <c r="K352" s="67"/>
      <c r="L352" s="67"/>
      <c r="M352" s="67"/>
      <c r="N352" s="67"/>
    </row>
    <row r="353">
      <c r="A353" s="397"/>
      <c r="B353" s="305"/>
      <c r="C353" s="305"/>
      <c r="D353" s="305"/>
      <c r="E353" s="305"/>
      <c r="F353" s="398"/>
      <c r="G353" s="398"/>
      <c r="H353" s="398"/>
      <c r="I353" s="398"/>
      <c r="K353" s="67"/>
      <c r="L353" s="67"/>
      <c r="M353" s="67"/>
      <c r="N353" s="67"/>
    </row>
    <row r="354">
      <c r="A354" s="397"/>
      <c r="B354" s="305"/>
      <c r="C354" s="305"/>
      <c r="D354" s="305"/>
      <c r="E354" s="305"/>
      <c r="F354" s="398"/>
      <c r="G354" s="398"/>
      <c r="H354" s="398"/>
      <c r="I354" s="398"/>
      <c r="K354" s="67"/>
      <c r="L354" s="67"/>
      <c r="M354" s="67"/>
      <c r="N354" s="67"/>
    </row>
    <row r="355">
      <c r="A355" s="397"/>
      <c r="B355" s="305"/>
      <c r="C355" s="305"/>
      <c r="D355" s="305"/>
      <c r="E355" s="305"/>
      <c r="F355" s="398"/>
      <c r="G355" s="398"/>
      <c r="H355" s="398"/>
      <c r="I355" s="398"/>
      <c r="K355" s="67"/>
      <c r="L355" s="67"/>
      <c r="M355" s="67"/>
      <c r="N355" s="67"/>
    </row>
    <row r="356">
      <c r="A356" s="397"/>
      <c r="B356" s="305"/>
      <c r="C356" s="305"/>
      <c r="D356" s="305"/>
      <c r="E356" s="305"/>
      <c r="F356" s="398"/>
      <c r="G356" s="398"/>
      <c r="H356" s="398"/>
      <c r="I356" s="398"/>
      <c r="K356" s="67"/>
      <c r="L356" s="67"/>
      <c r="M356" s="67"/>
      <c r="N356" s="67"/>
    </row>
    <row r="357">
      <c r="A357" s="397"/>
      <c r="B357" s="305"/>
      <c r="C357" s="305"/>
      <c r="D357" s="305"/>
      <c r="E357" s="305"/>
      <c r="F357" s="398"/>
      <c r="G357" s="398"/>
      <c r="H357" s="398"/>
      <c r="I357" s="398"/>
      <c r="K357" s="67"/>
      <c r="L357" s="67"/>
      <c r="M357" s="67"/>
      <c r="N357" s="67"/>
    </row>
    <row r="358">
      <c r="A358" s="397"/>
      <c r="B358" s="305"/>
      <c r="C358" s="305"/>
      <c r="D358" s="305"/>
      <c r="E358" s="305"/>
      <c r="F358" s="398"/>
      <c r="G358" s="398"/>
      <c r="H358" s="398"/>
      <c r="I358" s="398"/>
      <c r="K358" s="67"/>
      <c r="L358" s="67"/>
      <c r="M358" s="67"/>
      <c r="N358" s="67"/>
    </row>
    <row r="359">
      <c r="A359" s="397"/>
      <c r="B359" s="305"/>
      <c r="C359" s="305"/>
      <c r="D359" s="305"/>
      <c r="E359" s="305"/>
      <c r="F359" s="398"/>
      <c r="G359" s="398"/>
      <c r="H359" s="398"/>
      <c r="I359" s="398"/>
      <c r="K359" s="67"/>
      <c r="L359" s="67"/>
      <c r="M359" s="67"/>
      <c r="N359" s="67"/>
    </row>
    <row r="360">
      <c r="A360" s="397"/>
      <c r="B360" s="305"/>
      <c r="C360" s="305"/>
      <c r="D360" s="305"/>
      <c r="E360" s="305"/>
      <c r="F360" s="398"/>
      <c r="G360" s="398"/>
      <c r="H360" s="398"/>
      <c r="I360" s="398"/>
      <c r="K360" s="67"/>
      <c r="L360" s="67"/>
      <c r="M360" s="67"/>
      <c r="N360" s="67"/>
    </row>
    <row r="361">
      <c r="A361" s="397"/>
      <c r="B361" s="305"/>
      <c r="C361" s="305"/>
      <c r="D361" s="305"/>
      <c r="E361" s="305"/>
      <c r="F361" s="398"/>
      <c r="G361" s="398"/>
      <c r="H361" s="398"/>
      <c r="I361" s="398"/>
      <c r="K361" s="67"/>
      <c r="L361" s="67"/>
      <c r="M361" s="67"/>
      <c r="N361" s="67"/>
    </row>
    <row r="362">
      <c r="A362" s="397"/>
      <c r="B362" s="305"/>
      <c r="C362" s="305"/>
      <c r="D362" s="305"/>
      <c r="E362" s="305"/>
      <c r="F362" s="398"/>
      <c r="G362" s="398"/>
      <c r="H362" s="398"/>
      <c r="I362" s="398"/>
      <c r="K362" s="67"/>
      <c r="L362" s="67"/>
      <c r="M362" s="67"/>
      <c r="N362" s="67"/>
    </row>
    <row r="363">
      <c r="A363" s="397"/>
      <c r="B363" s="305"/>
      <c r="C363" s="305"/>
      <c r="D363" s="305"/>
      <c r="E363" s="305"/>
      <c r="F363" s="398"/>
      <c r="G363" s="398"/>
      <c r="H363" s="398"/>
      <c r="I363" s="398"/>
      <c r="K363" s="67"/>
      <c r="L363" s="67"/>
      <c r="M363" s="67"/>
      <c r="N363" s="67"/>
    </row>
    <row r="364">
      <c r="A364" s="397"/>
      <c r="B364" s="305"/>
      <c r="C364" s="305"/>
      <c r="D364" s="305"/>
      <c r="E364" s="305"/>
      <c r="F364" s="398"/>
      <c r="G364" s="398"/>
      <c r="H364" s="398"/>
      <c r="I364" s="398"/>
      <c r="K364" s="67"/>
      <c r="L364" s="67"/>
      <c r="M364" s="67"/>
      <c r="N364" s="67"/>
    </row>
    <row r="365">
      <c r="A365" s="397"/>
      <c r="B365" s="305"/>
      <c r="C365" s="305"/>
      <c r="D365" s="305"/>
      <c r="E365" s="305"/>
      <c r="F365" s="398"/>
      <c r="G365" s="398"/>
      <c r="H365" s="398"/>
      <c r="I365" s="398"/>
      <c r="K365" s="67"/>
      <c r="L365" s="67"/>
      <c r="M365" s="67"/>
      <c r="N365" s="67"/>
    </row>
    <row r="366">
      <c r="A366" s="397"/>
      <c r="B366" s="305"/>
      <c r="C366" s="305"/>
      <c r="D366" s="305"/>
      <c r="E366" s="305"/>
      <c r="F366" s="398"/>
      <c r="G366" s="398"/>
      <c r="H366" s="398"/>
      <c r="I366" s="398"/>
      <c r="K366" s="67"/>
      <c r="L366" s="67"/>
      <c r="M366" s="67"/>
      <c r="N366" s="67"/>
    </row>
    <row r="367">
      <c r="A367" s="397"/>
      <c r="B367" s="305"/>
      <c r="C367" s="305"/>
      <c r="D367" s="305"/>
      <c r="E367" s="305"/>
      <c r="F367" s="398"/>
      <c r="G367" s="398"/>
      <c r="H367" s="398"/>
      <c r="I367" s="398"/>
      <c r="K367" s="67"/>
      <c r="L367" s="67"/>
      <c r="M367" s="67"/>
      <c r="N367" s="67"/>
    </row>
    <row r="368">
      <c r="A368" s="397"/>
      <c r="B368" s="305"/>
      <c r="C368" s="305"/>
      <c r="D368" s="305"/>
      <c r="E368" s="305"/>
      <c r="F368" s="398"/>
      <c r="G368" s="398"/>
      <c r="H368" s="398"/>
      <c r="I368" s="398"/>
      <c r="K368" s="67"/>
      <c r="L368" s="67"/>
      <c r="M368" s="67"/>
      <c r="N368" s="67"/>
    </row>
    <row r="369">
      <c r="A369" s="397"/>
      <c r="B369" s="305"/>
      <c r="C369" s="305"/>
      <c r="D369" s="305"/>
      <c r="E369" s="305"/>
      <c r="F369" s="398"/>
      <c r="G369" s="398"/>
      <c r="H369" s="398"/>
      <c r="I369" s="398"/>
      <c r="K369" s="67"/>
      <c r="L369" s="67"/>
      <c r="M369" s="67"/>
      <c r="N369" s="67"/>
    </row>
    <row r="370">
      <c r="A370" s="397"/>
      <c r="B370" s="305"/>
      <c r="C370" s="305"/>
      <c r="D370" s="305"/>
      <c r="E370" s="305"/>
      <c r="F370" s="398"/>
      <c r="G370" s="398"/>
      <c r="H370" s="398"/>
      <c r="I370" s="398"/>
      <c r="K370" s="67"/>
      <c r="L370" s="67"/>
      <c r="M370" s="67"/>
      <c r="N370" s="67"/>
    </row>
    <row r="371">
      <c r="A371" s="397"/>
      <c r="B371" s="305"/>
      <c r="C371" s="305"/>
      <c r="D371" s="305"/>
      <c r="E371" s="305"/>
      <c r="F371" s="398"/>
      <c r="G371" s="398"/>
      <c r="H371" s="398"/>
      <c r="I371" s="398"/>
      <c r="K371" s="67"/>
      <c r="L371" s="67"/>
      <c r="M371" s="67"/>
      <c r="N371" s="67"/>
    </row>
    <row r="372">
      <c r="A372" s="397"/>
      <c r="B372" s="305"/>
      <c r="C372" s="305"/>
      <c r="D372" s="305"/>
      <c r="E372" s="305"/>
      <c r="F372" s="398"/>
      <c r="G372" s="398"/>
      <c r="H372" s="398"/>
      <c r="I372" s="398"/>
      <c r="K372" s="67"/>
      <c r="L372" s="67"/>
      <c r="M372" s="67"/>
      <c r="N372" s="67"/>
    </row>
    <row r="373">
      <c r="A373" s="397"/>
      <c r="B373" s="305"/>
      <c r="C373" s="305"/>
      <c r="D373" s="305"/>
      <c r="E373" s="305"/>
      <c r="F373" s="398"/>
      <c r="G373" s="398"/>
      <c r="H373" s="398"/>
      <c r="I373" s="398"/>
      <c r="K373" s="67"/>
      <c r="L373" s="67"/>
      <c r="M373" s="67"/>
      <c r="N373" s="67"/>
    </row>
    <row r="374">
      <c r="A374" s="397"/>
      <c r="B374" s="305"/>
      <c r="C374" s="305"/>
      <c r="D374" s="305"/>
      <c r="E374" s="305"/>
      <c r="F374" s="398"/>
      <c r="G374" s="398"/>
      <c r="H374" s="398"/>
      <c r="I374" s="398"/>
      <c r="K374" s="67"/>
      <c r="L374" s="67"/>
      <c r="M374" s="67"/>
      <c r="N374" s="67"/>
    </row>
    <row r="375">
      <c r="A375" s="397"/>
      <c r="B375" s="305"/>
      <c r="C375" s="305"/>
      <c r="D375" s="305"/>
      <c r="E375" s="305"/>
      <c r="F375" s="398"/>
      <c r="G375" s="398"/>
      <c r="H375" s="398"/>
      <c r="I375" s="398"/>
      <c r="K375" s="67"/>
      <c r="L375" s="67"/>
      <c r="M375" s="67"/>
      <c r="N375" s="67"/>
    </row>
    <row r="376">
      <c r="A376" s="397"/>
      <c r="B376" s="305"/>
      <c r="C376" s="305"/>
      <c r="D376" s="305"/>
      <c r="E376" s="305"/>
      <c r="F376" s="398"/>
      <c r="G376" s="398"/>
      <c r="H376" s="398"/>
      <c r="I376" s="398"/>
      <c r="K376" s="67"/>
      <c r="L376" s="67"/>
      <c r="M376" s="67"/>
      <c r="N376" s="67"/>
    </row>
    <row r="377">
      <c r="A377" s="397"/>
      <c r="B377" s="305"/>
      <c r="C377" s="305"/>
      <c r="D377" s="305"/>
      <c r="E377" s="305"/>
      <c r="F377" s="398"/>
      <c r="G377" s="398"/>
      <c r="H377" s="398"/>
      <c r="I377" s="398"/>
      <c r="K377" s="67"/>
      <c r="L377" s="67"/>
      <c r="M377" s="67"/>
      <c r="N377" s="67"/>
    </row>
    <row r="378">
      <c r="A378" s="397"/>
      <c r="B378" s="305"/>
      <c r="C378" s="305"/>
      <c r="D378" s="305"/>
      <c r="E378" s="305"/>
      <c r="F378" s="398"/>
      <c r="G378" s="398"/>
      <c r="H378" s="398"/>
      <c r="I378" s="398"/>
      <c r="K378" s="67"/>
      <c r="L378" s="67"/>
      <c r="M378" s="67"/>
      <c r="N378" s="67"/>
    </row>
    <row r="379">
      <c r="A379" s="397"/>
      <c r="B379" s="305"/>
      <c r="C379" s="305"/>
      <c r="D379" s="305"/>
      <c r="E379" s="305"/>
      <c r="F379" s="398"/>
      <c r="G379" s="398"/>
      <c r="H379" s="398"/>
      <c r="I379" s="398"/>
      <c r="K379" s="67"/>
      <c r="L379" s="67"/>
      <c r="M379" s="67"/>
      <c r="N379" s="67"/>
    </row>
    <row r="380">
      <c r="A380" s="397"/>
      <c r="B380" s="305"/>
      <c r="C380" s="305"/>
      <c r="D380" s="305"/>
      <c r="E380" s="305"/>
      <c r="F380" s="398"/>
      <c r="G380" s="398"/>
      <c r="H380" s="398"/>
      <c r="I380" s="398"/>
      <c r="K380" s="67"/>
      <c r="L380" s="67"/>
      <c r="M380" s="67"/>
      <c r="N380" s="67"/>
    </row>
    <row r="381">
      <c r="A381" s="397"/>
      <c r="B381" s="305"/>
      <c r="C381" s="305"/>
      <c r="D381" s="305"/>
      <c r="E381" s="305"/>
      <c r="F381" s="398"/>
      <c r="G381" s="398"/>
      <c r="H381" s="398"/>
      <c r="I381" s="398"/>
      <c r="K381" s="67"/>
      <c r="L381" s="67"/>
      <c r="M381" s="67"/>
      <c r="N381" s="67"/>
    </row>
    <row r="382">
      <c r="A382" s="397"/>
      <c r="B382" s="305"/>
      <c r="C382" s="305"/>
      <c r="D382" s="305"/>
      <c r="E382" s="305"/>
      <c r="F382" s="398"/>
      <c r="G382" s="398"/>
      <c r="H382" s="398"/>
      <c r="I382" s="398"/>
      <c r="K382" s="67"/>
      <c r="L382" s="67"/>
      <c r="M382" s="67"/>
      <c r="N382" s="67"/>
    </row>
    <row r="383">
      <c r="A383" s="397"/>
      <c r="B383" s="305"/>
      <c r="C383" s="305"/>
      <c r="D383" s="305"/>
      <c r="E383" s="305"/>
      <c r="F383" s="398"/>
      <c r="G383" s="398"/>
      <c r="H383" s="398"/>
      <c r="I383" s="398"/>
      <c r="K383" s="67"/>
      <c r="L383" s="67"/>
      <c r="M383" s="67"/>
      <c r="N383" s="67"/>
    </row>
    <row r="384">
      <c r="A384" s="397"/>
      <c r="B384" s="305"/>
      <c r="C384" s="305"/>
      <c r="D384" s="305"/>
      <c r="E384" s="305"/>
      <c r="F384" s="398"/>
      <c r="G384" s="398"/>
      <c r="H384" s="398"/>
      <c r="I384" s="398"/>
      <c r="K384" s="67"/>
      <c r="L384" s="67"/>
      <c r="M384" s="67"/>
      <c r="N384" s="67"/>
    </row>
    <row r="385">
      <c r="A385" s="397"/>
      <c r="B385" s="305"/>
      <c r="C385" s="305"/>
      <c r="D385" s="305"/>
      <c r="E385" s="305"/>
      <c r="F385" s="398"/>
      <c r="G385" s="398"/>
      <c r="H385" s="398"/>
      <c r="I385" s="398"/>
      <c r="K385" s="67"/>
      <c r="L385" s="67"/>
      <c r="M385" s="67"/>
      <c r="N385" s="67"/>
    </row>
    <row r="386">
      <c r="A386" s="397"/>
      <c r="B386" s="305"/>
      <c r="C386" s="305"/>
      <c r="D386" s="305"/>
      <c r="E386" s="305"/>
      <c r="F386" s="398"/>
      <c r="G386" s="398"/>
      <c r="H386" s="398"/>
      <c r="I386" s="398"/>
      <c r="K386" s="67"/>
      <c r="L386" s="67"/>
      <c r="M386" s="67"/>
      <c r="N386" s="67"/>
    </row>
    <row r="387">
      <c r="A387" s="397"/>
      <c r="B387" s="305"/>
      <c r="C387" s="305"/>
      <c r="D387" s="305"/>
      <c r="E387" s="305"/>
      <c r="F387" s="398"/>
      <c r="G387" s="398"/>
      <c r="H387" s="398"/>
      <c r="I387" s="398"/>
      <c r="K387" s="67"/>
      <c r="L387" s="67"/>
      <c r="M387" s="67"/>
      <c r="N387" s="67"/>
    </row>
    <row r="388">
      <c r="A388" s="397"/>
      <c r="B388" s="305"/>
      <c r="C388" s="305"/>
      <c r="D388" s="305"/>
      <c r="E388" s="305"/>
      <c r="F388" s="398"/>
      <c r="G388" s="398"/>
      <c r="H388" s="398"/>
      <c r="I388" s="398"/>
      <c r="K388" s="67"/>
      <c r="L388" s="67"/>
      <c r="M388" s="67"/>
      <c r="N388" s="67"/>
    </row>
    <row r="389">
      <c r="A389" s="397"/>
      <c r="B389" s="305"/>
      <c r="C389" s="305"/>
      <c r="D389" s="305"/>
      <c r="E389" s="305"/>
      <c r="F389" s="398"/>
      <c r="G389" s="398"/>
      <c r="H389" s="398"/>
      <c r="I389" s="398"/>
      <c r="K389" s="67"/>
      <c r="L389" s="67"/>
      <c r="M389" s="67"/>
      <c r="N389" s="67"/>
    </row>
    <row r="390">
      <c r="A390" s="397"/>
      <c r="B390" s="305"/>
      <c r="C390" s="305"/>
      <c r="D390" s="305"/>
      <c r="E390" s="305"/>
      <c r="F390" s="398"/>
      <c r="G390" s="398"/>
      <c r="H390" s="398"/>
      <c r="I390" s="398"/>
      <c r="K390" s="67"/>
      <c r="L390" s="67"/>
      <c r="M390" s="67"/>
      <c r="N390" s="67"/>
    </row>
    <row r="391">
      <c r="A391" s="397"/>
      <c r="B391" s="305"/>
      <c r="C391" s="305"/>
      <c r="D391" s="305"/>
      <c r="E391" s="305"/>
      <c r="F391" s="398"/>
      <c r="G391" s="398"/>
      <c r="H391" s="398"/>
      <c r="I391" s="398"/>
      <c r="K391" s="67"/>
      <c r="L391" s="67"/>
      <c r="M391" s="67"/>
      <c r="N391" s="67"/>
    </row>
    <row r="392">
      <c r="A392" s="397"/>
      <c r="B392" s="305"/>
      <c r="C392" s="305"/>
      <c r="D392" s="305"/>
      <c r="E392" s="305"/>
      <c r="F392" s="398"/>
      <c r="G392" s="398"/>
      <c r="H392" s="398"/>
      <c r="I392" s="398"/>
      <c r="K392" s="67"/>
      <c r="L392" s="67"/>
      <c r="M392" s="67"/>
      <c r="N392" s="67"/>
    </row>
    <row r="393">
      <c r="A393" s="397"/>
      <c r="B393" s="305"/>
      <c r="C393" s="305"/>
      <c r="D393" s="305"/>
      <c r="E393" s="305"/>
      <c r="F393" s="398"/>
      <c r="G393" s="398"/>
      <c r="H393" s="398"/>
      <c r="I393" s="398"/>
      <c r="K393" s="67"/>
      <c r="L393" s="67"/>
      <c r="M393" s="67"/>
      <c r="N393" s="67"/>
    </row>
    <row r="394">
      <c r="A394" s="397"/>
      <c r="B394" s="305"/>
      <c r="C394" s="305"/>
      <c r="D394" s="305"/>
      <c r="E394" s="305"/>
      <c r="F394" s="398"/>
      <c r="G394" s="398"/>
      <c r="H394" s="398"/>
      <c r="I394" s="398"/>
      <c r="K394" s="67"/>
      <c r="L394" s="67"/>
      <c r="M394" s="67"/>
      <c r="N394" s="67"/>
    </row>
    <row r="395">
      <c r="A395" s="397"/>
      <c r="B395" s="305"/>
      <c r="C395" s="305"/>
      <c r="D395" s="305"/>
      <c r="E395" s="305"/>
      <c r="F395" s="398"/>
      <c r="G395" s="398"/>
      <c r="H395" s="398"/>
      <c r="I395" s="398"/>
      <c r="K395" s="67"/>
      <c r="L395" s="67"/>
      <c r="M395" s="67"/>
      <c r="N395" s="67"/>
    </row>
    <row r="396">
      <c r="A396" s="397"/>
      <c r="B396" s="305"/>
      <c r="C396" s="305"/>
      <c r="D396" s="305"/>
      <c r="E396" s="305"/>
      <c r="F396" s="398"/>
      <c r="G396" s="398"/>
      <c r="H396" s="398"/>
      <c r="I396" s="398"/>
      <c r="K396" s="67"/>
      <c r="L396" s="67"/>
      <c r="M396" s="67"/>
      <c r="N396" s="67"/>
    </row>
    <row r="397">
      <c r="A397" s="397"/>
      <c r="B397" s="305"/>
      <c r="C397" s="305"/>
      <c r="D397" s="305"/>
      <c r="E397" s="305"/>
      <c r="F397" s="398"/>
      <c r="G397" s="398"/>
      <c r="H397" s="398"/>
      <c r="I397" s="398"/>
      <c r="K397" s="67"/>
      <c r="L397" s="67"/>
      <c r="M397" s="67"/>
      <c r="N397" s="67"/>
    </row>
    <row r="398">
      <c r="A398" s="397"/>
      <c r="B398" s="305"/>
      <c r="C398" s="305"/>
      <c r="D398" s="305"/>
      <c r="E398" s="305"/>
      <c r="F398" s="398"/>
      <c r="G398" s="398"/>
      <c r="H398" s="398"/>
      <c r="I398" s="398"/>
      <c r="K398" s="67"/>
      <c r="L398" s="67"/>
      <c r="M398" s="67"/>
      <c r="N398" s="67"/>
    </row>
    <row r="399">
      <c r="A399" s="397"/>
      <c r="B399" s="305"/>
      <c r="C399" s="305"/>
      <c r="D399" s="305"/>
      <c r="E399" s="305"/>
      <c r="F399" s="398"/>
      <c r="G399" s="398"/>
      <c r="H399" s="398"/>
      <c r="I399" s="398"/>
      <c r="K399" s="67"/>
      <c r="L399" s="67"/>
      <c r="M399" s="67"/>
      <c r="N399" s="67"/>
    </row>
    <row r="400">
      <c r="A400" s="397"/>
      <c r="B400" s="305"/>
      <c r="C400" s="305"/>
      <c r="D400" s="305"/>
      <c r="E400" s="305"/>
      <c r="F400" s="398"/>
      <c r="G400" s="398"/>
      <c r="H400" s="398"/>
      <c r="I400" s="398"/>
      <c r="K400" s="67"/>
      <c r="L400" s="67"/>
      <c r="M400" s="67"/>
      <c r="N400" s="67"/>
    </row>
    <row r="401">
      <c r="A401" s="397"/>
      <c r="B401" s="305"/>
      <c r="C401" s="305"/>
      <c r="D401" s="305"/>
      <c r="E401" s="305"/>
      <c r="F401" s="398"/>
      <c r="G401" s="398"/>
      <c r="H401" s="398"/>
      <c r="I401" s="398"/>
      <c r="K401" s="67"/>
      <c r="L401" s="67"/>
      <c r="M401" s="67"/>
      <c r="N401" s="67"/>
    </row>
    <row r="402">
      <c r="A402" s="397"/>
      <c r="B402" s="305"/>
      <c r="C402" s="305"/>
      <c r="D402" s="305"/>
      <c r="E402" s="305"/>
      <c r="F402" s="398"/>
      <c r="G402" s="398"/>
      <c r="H402" s="398"/>
      <c r="I402" s="398"/>
      <c r="K402" s="67"/>
      <c r="L402" s="67"/>
      <c r="M402" s="67"/>
      <c r="N402" s="67"/>
    </row>
    <row r="403">
      <c r="A403" s="397"/>
      <c r="B403" s="305"/>
      <c r="C403" s="305"/>
      <c r="D403" s="305"/>
      <c r="E403" s="305"/>
      <c r="F403" s="398"/>
      <c r="G403" s="398"/>
      <c r="H403" s="398"/>
      <c r="I403" s="398"/>
      <c r="K403" s="67"/>
      <c r="L403" s="67"/>
      <c r="M403" s="67"/>
      <c r="N403" s="67"/>
    </row>
    <row r="404">
      <c r="A404" s="397"/>
      <c r="B404" s="305"/>
      <c r="C404" s="305"/>
      <c r="D404" s="305"/>
      <c r="E404" s="305"/>
      <c r="F404" s="398"/>
      <c r="G404" s="398"/>
      <c r="H404" s="398"/>
      <c r="I404" s="398"/>
      <c r="K404" s="67"/>
      <c r="L404" s="67"/>
      <c r="M404" s="67"/>
      <c r="N404" s="67"/>
    </row>
    <row r="405">
      <c r="A405" s="397"/>
      <c r="B405" s="305"/>
      <c r="C405" s="305"/>
      <c r="D405" s="305"/>
      <c r="E405" s="305"/>
      <c r="F405" s="398"/>
      <c r="G405" s="398"/>
      <c r="H405" s="398"/>
      <c r="I405" s="398"/>
      <c r="K405" s="67"/>
      <c r="L405" s="67"/>
      <c r="M405" s="67"/>
      <c r="N405" s="67"/>
    </row>
    <row r="406">
      <c r="A406" s="397"/>
      <c r="B406" s="305"/>
      <c r="C406" s="305"/>
      <c r="D406" s="305"/>
      <c r="E406" s="305"/>
      <c r="F406" s="398"/>
      <c r="G406" s="398"/>
      <c r="H406" s="398"/>
      <c r="I406" s="398"/>
      <c r="K406" s="67"/>
      <c r="L406" s="67"/>
      <c r="M406" s="67"/>
      <c r="N406" s="67"/>
    </row>
    <row r="407">
      <c r="A407" s="397"/>
      <c r="B407" s="305"/>
      <c r="C407" s="305"/>
      <c r="D407" s="305"/>
      <c r="E407" s="305"/>
      <c r="F407" s="398"/>
      <c r="G407" s="398"/>
      <c r="H407" s="398"/>
      <c r="I407" s="398"/>
      <c r="K407" s="67"/>
      <c r="L407" s="67"/>
      <c r="M407" s="67"/>
      <c r="N407" s="67"/>
    </row>
    <row r="408">
      <c r="A408" s="397"/>
      <c r="B408" s="305"/>
      <c r="C408" s="305"/>
      <c r="D408" s="305"/>
      <c r="E408" s="305"/>
      <c r="F408" s="398"/>
      <c r="G408" s="398"/>
      <c r="H408" s="398"/>
      <c r="I408" s="398"/>
      <c r="K408" s="67"/>
      <c r="L408" s="67"/>
      <c r="M408" s="67"/>
      <c r="N408" s="67"/>
    </row>
    <row r="409">
      <c r="A409" s="397"/>
      <c r="B409" s="305"/>
      <c r="C409" s="305"/>
      <c r="D409" s="305"/>
      <c r="E409" s="305"/>
      <c r="F409" s="398"/>
      <c r="G409" s="398"/>
      <c r="H409" s="398"/>
      <c r="I409" s="398"/>
      <c r="K409" s="67"/>
      <c r="L409" s="67"/>
      <c r="M409" s="67"/>
      <c r="N409" s="67"/>
    </row>
    <row r="410">
      <c r="A410" s="397"/>
      <c r="B410" s="305"/>
      <c r="C410" s="305"/>
      <c r="D410" s="305"/>
      <c r="E410" s="305"/>
      <c r="F410" s="398"/>
      <c r="G410" s="398"/>
      <c r="H410" s="398"/>
      <c r="I410" s="398"/>
      <c r="K410" s="67"/>
      <c r="L410" s="67"/>
      <c r="M410" s="67"/>
      <c r="N410" s="67"/>
    </row>
    <row r="411">
      <c r="A411" s="397"/>
      <c r="B411" s="305"/>
      <c r="C411" s="305"/>
      <c r="D411" s="305"/>
      <c r="E411" s="305"/>
      <c r="F411" s="398"/>
      <c r="G411" s="398"/>
      <c r="H411" s="398"/>
      <c r="I411" s="398"/>
      <c r="K411" s="67"/>
      <c r="L411" s="67"/>
      <c r="M411" s="67"/>
      <c r="N411" s="67"/>
    </row>
    <row r="412">
      <c r="A412" s="397"/>
      <c r="B412" s="305"/>
      <c r="C412" s="305"/>
      <c r="D412" s="305"/>
      <c r="E412" s="305"/>
      <c r="F412" s="398"/>
      <c r="G412" s="398"/>
      <c r="H412" s="398"/>
      <c r="I412" s="398"/>
      <c r="K412" s="67"/>
      <c r="L412" s="67"/>
      <c r="M412" s="67"/>
      <c r="N412" s="67"/>
    </row>
    <row r="413">
      <c r="A413" s="397"/>
      <c r="B413" s="305"/>
      <c r="C413" s="305"/>
      <c r="D413" s="305"/>
      <c r="E413" s="305"/>
      <c r="F413" s="398"/>
      <c r="G413" s="398"/>
      <c r="H413" s="398"/>
      <c r="I413" s="398"/>
      <c r="K413" s="67"/>
      <c r="L413" s="67"/>
      <c r="M413" s="67"/>
      <c r="N413" s="67"/>
    </row>
    <row r="414">
      <c r="A414" s="397"/>
      <c r="B414" s="305"/>
      <c r="C414" s="305"/>
      <c r="D414" s="305"/>
      <c r="E414" s="305"/>
      <c r="F414" s="398"/>
      <c r="G414" s="398"/>
      <c r="H414" s="398"/>
      <c r="I414" s="398"/>
      <c r="K414" s="67"/>
      <c r="L414" s="67"/>
      <c r="M414" s="67"/>
      <c r="N414" s="67"/>
    </row>
    <row r="415">
      <c r="A415" s="397"/>
      <c r="B415" s="305"/>
      <c r="C415" s="305"/>
      <c r="D415" s="305"/>
      <c r="E415" s="305"/>
      <c r="F415" s="398"/>
      <c r="G415" s="398"/>
      <c r="H415" s="398"/>
      <c r="I415" s="398"/>
      <c r="K415" s="67"/>
      <c r="L415" s="67"/>
      <c r="M415" s="67"/>
      <c r="N415" s="67"/>
    </row>
    <row r="416">
      <c r="A416" s="397"/>
      <c r="B416" s="305"/>
      <c r="C416" s="305"/>
      <c r="D416" s="305"/>
      <c r="E416" s="305"/>
      <c r="F416" s="398"/>
      <c r="G416" s="398"/>
      <c r="H416" s="398"/>
      <c r="I416" s="398"/>
      <c r="K416" s="67"/>
      <c r="L416" s="67"/>
      <c r="M416" s="67"/>
      <c r="N416" s="67"/>
    </row>
    <row r="417">
      <c r="A417" s="397"/>
      <c r="B417" s="305"/>
      <c r="C417" s="305"/>
      <c r="D417" s="305"/>
      <c r="E417" s="305"/>
      <c r="F417" s="398"/>
      <c r="G417" s="398"/>
      <c r="H417" s="398"/>
      <c r="I417" s="398"/>
      <c r="K417" s="67"/>
      <c r="L417" s="67"/>
      <c r="M417" s="67"/>
      <c r="N417" s="67"/>
    </row>
    <row r="418">
      <c r="A418" s="397"/>
      <c r="B418" s="305"/>
      <c r="C418" s="305"/>
      <c r="D418" s="305"/>
      <c r="E418" s="305"/>
      <c r="F418" s="398"/>
      <c r="G418" s="398"/>
      <c r="H418" s="398"/>
      <c r="I418" s="398"/>
      <c r="K418" s="67"/>
      <c r="L418" s="67"/>
      <c r="M418" s="67"/>
      <c r="N418" s="67"/>
    </row>
    <row r="419">
      <c r="A419" s="397"/>
      <c r="B419" s="305"/>
      <c r="C419" s="305"/>
      <c r="D419" s="305"/>
      <c r="E419" s="305"/>
      <c r="F419" s="398"/>
      <c r="G419" s="398"/>
      <c r="H419" s="398"/>
      <c r="I419" s="398"/>
      <c r="K419" s="67"/>
      <c r="L419" s="67"/>
      <c r="M419" s="67"/>
      <c r="N419" s="67"/>
    </row>
    <row r="420">
      <c r="A420" s="397"/>
      <c r="B420" s="305"/>
      <c r="C420" s="305"/>
      <c r="D420" s="305"/>
      <c r="E420" s="305"/>
      <c r="F420" s="398"/>
      <c r="G420" s="398"/>
      <c r="H420" s="398"/>
      <c r="I420" s="398"/>
      <c r="K420" s="67"/>
      <c r="L420" s="67"/>
      <c r="M420" s="67"/>
      <c r="N420" s="67"/>
    </row>
    <row r="421">
      <c r="A421" s="397"/>
      <c r="B421" s="305"/>
      <c r="C421" s="305"/>
      <c r="D421" s="305"/>
      <c r="E421" s="305"/>
      <c r="F421" s="398"/>
      <c r="G421" s="398"/>
      <c r="H421" s="398"/>
      <c r="I421" s="398"/>
      <c r="K421" s="67"/>
      <c r="L421" s="67"/>
      <c r="M421" s="67"/>
      <c r="N421" s="67"/>
    </row>
    <row r="422">
      <c r="A422" s="397"/>
      <c r="B422" s="305"/>
      <c r="C422" s="305"/>
      <c r="D422" s="305"/>
      <c r="E422" s="305"/>
      <c r="F422" s="398"/>
      <c r="G422" s="398"/>
      <c r="H422" s="398"/>
      <c r="I422" s="398"/>
      <c r="K422" s="67"/>
      <c r="L422" s="67"/>
      <c r="M422" s="67"/>
      <c r="N422" s="67"/>
    </row>
    <row r="423">
      <c r="A423" s="397"/>
      <c r="B423" s="305"/>
      <c r="C423" s="305"/>
      <c r="D423" s="305"/>
      <c r="E423" s="305"/>
      <c r="F423" s="398"/>
      <c r="G423" s="398"/>
      <c r="H423" s="398"/>
      <c r="I423" s="398"/>
      <c r="K423" s="67"/>
      <c r="L423" s="67"/>
      <c r="M423" s="67"/>
      <c r="N423" s="67"/>
    </row>
    <row r="424">
      <c r="A424" s="397"/>
      <c r="B424" s="305"/>
      <c r="C424" s="305"/>
      <c r="D424" s="305"/>
      <c r="E424" s="305"/>
      <c r="F424" s="398"/>
      <c r="G424" s="398"/>
      <c r="H424" s="398"/>
      <c r="I424" s="398"/>
      <c r="K424" s="67"/>
      <c r="L424" s="67"/>
      <c r="M424" s="67"/>
      <c r="N424" s="67"/>
    </row>
    <row r="425">
      <c r="A425" s="397"/>
      <c r="B425" s="305"/>
      <c r="C425" s="305"/>
      <c r="D425" s="305"/>
      <c r="E425" s="305"/>
      <c r="F425" s="398"/>
      <c r="G425" s="398"/>
      <c r="H425" s="398"/>
      <c r="I425" s="398"/>
      <c r="K425" s="67"/>
      <c r="L425" s="67"/>
      <c r="M425" s="67"/>
      <c r="N425" s="67"/>
    </row>
    <row r="426">
      <c r="A426" s="397"/>
      <c r="B426" s="305"/>
      <c r="C426" s="305"/>
      <c r="D426" s="305"/>
      <c r="E426" s="305"/>
      <c r="F426" s="398"/>
      <c r="G426" s="398"/>
      <c r="H426" s="398"/>
      <c r="I426" s="398"/>
      <c r="K426" s="67"/>
      <c r="L426" s="67"/>
      <c r="M426" s="67"/>
      <c r="N426" s="67"/>
    </row>
    <row r="427">
      <c r="A427" s="397"/>
      <c r="B427" s="305"/>
      <c r="C427" s="305"/>
      <c r="D427" s="305"/>
      <c r="E427" s="305"/>
      <c r="F427" s="398"/>
      <c r="G427" s="398"/>
      <c r="H427" s="398"/>
      <c r="I427" s="398"/>
      <c r="K427" s="67"/>
      <c r="L427" s="67"/>
      <c r="M427" s="67"/>
      <c r="N427" s="67"/>
    </row>
    <row r="428">
      <c r="A428" s="397"/>
      <c r="B428" s="305"/>
      <c r="C428" s="305"/>
      <c r="D428" s="305"/>
      <c r="E428" s="305"/>
      <c r="F428" s="398"/>
      <c r="G428" s="398"/>
      <c r="H428" s="398"/>
      <c r="I428" s="398"/>
      <c r="K428" s="67"/>
      <c r="L428" s="67"/>
      <c r="M428" s="67"/>
      <c r="N428" s="67"/>
    </row>
    <row r="429">
      <c r="A429" s="397"/>
      <c r="B429" s="305"/>
      <c r="C429" s="305"/>
      <c r="D429" s="305"/>
      <c r="E429" s="305"/>
      <c r="F429" s="398"/>
      <c r="G429" s="398"/>
      <c r="H429" s="398"/>
      <c r="I429" s="398"/>
      <c r="K429" s="67"/>
      <c r="L429" s="67"/>
      <c r="M429" s="67"/>
      <c r="N429" s="67"/>
    </row>
    <row r="430">
      <c r="A430" s="397"/>
      <c r="B430" s="305"/>
      <c r="C430" s="305"/>
      <c r="D430" s="305"/>
      <c r="E430" s="305"/>
      <c r="F430" s="398"/>
      <c r="G430" s="398"/>
      <c r="H430" s="398"/>
      <c r="I430" s="398"/>
      <c r="K430" s="67"/>
      <c r="L430" s="67"/>
      <c r="M430" s="67"/>
      <c r="N430" s="67"/>
    </row>
    <row r="431">
      <c r="A431" s="397"/>
      <c r="B431" s="305"/>
      <c r="C431" s="305"/>
      <c r="D431" s="305"/>
      <c r="E431" s="305"/>
      <c r="F431" s="398"/>
      <c r="G431" s="398"/>
      <c r="H431" s="398"/>
      <c r="I431" s="398"/>
      <c r="K431" s="67"/>
      <c r="L431" s="67"/>
      <c r="M431" s="67"/>
      <c r="N431" s="67"/>
    </row>
    <row r="432">
      <c r="A432" s="397"/>
      <c r="B432" s="305"/>
      <c r="C432" s="305"/>
      <c r="D432" s="305"/>
      <c r="E432" s="305"/>
      <c r="F432" s="398"/>
      <c r="G432" s="398"/>
      <c r="H432" s="398"/>
      <c r="I432" s="398"/>
      <c r="K432" s="67"/>
      <c r="L432" s="67"/>
      <c r="M432" s="67"/>
      <c r="N432" s="67"/>
    </row>
    <row r="433">
      <c r="A433" s="397"/>
      <c r="B433" s="305"/>
      <c r="C433" s="305"/>
      <c r="D433" s="305"/>
      <c r="E433" s="305"/>
      <c r="F433" s="398"/>
      <c r="G433" s="398"/>
      <c r="H433" s="398"/>
      <c r="I433" s="398"/>
      <c r="K433" s="67"/>
      <c r="L433" s="67"/>
      <c r="M433" s="67"/>
      <c r="N433" s="67"/>
    </row>
    <row r="434">
      <c r="A434" s="397"/>
      <c r="B434" s="305"/>
      <c r="C434" s="305"/>
      <c r="D434" s="305"/>
      <c r="E434" s="305"/>
      <c r="F434" s="398"/>
      <c r="G434" s="398"/>
      <c r="H434" s="398"/>
      <c r="I434" s="398"/>
      <c r="K434" s="67"/>
      <c r="L434" s="67"/>
      <c r="M434" s="67"/>
      <c r="N434" s="67"/>
    </row>
    <row r="435">
      <c r="A435" s="397"/>
      <c r="B435" s="305"/>
      <c r="C435" s="305"/>
      <c r="D435" s="305"/>
      <c r="E435" s="305"/>
      <c r="F435" s="398"/>
      <c r="G435" s="398"/>
      <c r="H435" s="398"/>
      <c r="I435" s="398"/>
      <c r="K435" s="67"/>
      <c r="L435" s="67"/>
      <c r="M435" s="67"/>
      <c r="N435" s="67"/>
    </row>
    <row r="436">
      <c r="A436" s="397"/>
      <c r="B436" s="305"/>
      <c r="C436" s="305"/>
      <c r="D436" s="305"/>
      <c r="E436" s="305"/>
      <c r="F436" s="398"/>
      <c r="G436" s="398"/>
      <c r="H436" s="398"/>
      <c r="I436" s="398"/>
      <c r="K436" s="67"/>
      <c r="L436" s="67"/>
      <c r="M436" s="67"/>
      <c r="N436" s="67"/>
    </row>
    <row r="437">
      <c r="A437" s="397"/>
      <c r="B437" s="305"/>
      <c r="C437" s="305"/>
      <c r="D437" s="305"/>
      <c r="E437" s="305"/>
      <c r="F437" s="398"/>
      <c r="G437" s="398"/>
      <c r="H437" s="398"/>
      <c r="I437" s="398"/>
      <c r="K437" s="67"/>
      <c r="L437" s="67"/>
      <c r="M437" s="67"/>
      <c r="N437" s="67"/>
    </row>
    <row r="438">
      <c r="A438" s="397"/>
      <c r="B438" s="305"/>
      <c r="C438" s="305"/>
      <c r="D438" s="305"/>
      <c r="E438" s="305"/>
      <c r="F438" s="398"/>
      <c r="G438" s="398"/>
      <c r="H438" s="398"/>
      <c r="I438" s="398"/>
      <c r="K438" s="67"/>
      <c r="L438" s="67"/>
      <c r="M438" s="67"/>
      <c r="N438" s="67"/>
    </row>
    <row r="439">
      <c r="A439" s="397"/>
      <c r="B439" s="305"/>
      <c r="C439" s="305"/>
      <c r="D439" s="305"/>
      <c r="E439" s="305"/>
      <c r="F439" s="398"/>
      <c r="G439" s="398"/>
      <c r="H439" s="398"/>
      <c r="I439" s="398"/>
      <c r="K439" s="67"/>
      <c r="L439" s="67"/>
      <c r="M439" s="67"/>
      <c r="N439" s="67"/>
    </row>
    <row r="440">
      <c r="A440" s="397"/>
      <c r="B440" s="305"/>
      <c r="C440" s="305"/>
      <c r="D440" s="305"/>
      <c r="E440" s="305"/>
      <c r="F440" s="398"/>
      <c r="G440" s="398"/>
      <c r="H440" s="398"/>
      <c r="I440" s="398"/>
      <c r="K440" s="67"/>
      <c r="L440" s="67"/>
      <c r="M440" s="67"/>
      <c r="N440" s="67"/>
    </row>
    <row r="441">
      <c r="A441" s="397"/>
      <c r="B441" s="305"/>
      <c r="C441" s="305"/>
      <c r="D441" s="305"/>
      <c r="E441" s="305"/>
      <c r="F441" s="398"/>
      <c r="G441" s="398"/>
      <c r="H441" s="398"/>
      <c r="I441" s="398"/>
      <c r="K441" s="67"/>
      <c r="L441" s="67"/>
      <c r="M441" s="67"/>
      <c r="N441" s="67"/>
    </row>
    <row r="442">
      <c r="A442" s="397"/>
      <c r="B442" s="305"/>
      <c r="C442" s="305"/>
      <c r="D442" s="305"/>
      <c r="E442" s="305"/>
      <c r="F442" s="398"/>
      <c r="G442" s="398"/>
      <c r="H442" s="398"/>
      <c r="I442" s="398"/>
      <c r="K442" s="67"/>
      <c r="L442" s="67"/>
      <c r="M442" s="67"/>
      <c r="N442" s="67"/>
    </row>
    <row r="443">
      <c r="A443" s="397"/>
      <c r="B443" s="305"/>
      <c r="C443" s="305"/>
      <c r="D443" s="305"/>
      <c r="E443" s="305"/>
      <c r="F443" s="398"/>
      <c r="G443" s="398"/>
      <c r="H443" s="398"/>
      <c r="I443" s="398"/>
      <c r="K443" s="67"/>
      <c r="L443" s="67"/>
      <c r="M443" s="67"/>
      <c r="N443" s="67"/>
    </row>
    <row r="444">
      <c r="A444" s="397"/>
      <c r="B444" s="305"/>
      <c r="C444" s="305"/>
      <c r="D444" s="305"/>
      <c r="E444" s="305"/>
      <c r="F444" s="398"/>
      <c r="G444" s="398"/>
      <c r="H444" s="398"/>
      <c r="I444" s="398"/>
      <c r="K444" s="67"/>
      <c r="L444" s="67"/>
      <c r="M444" s="67"/>
      <c r="N444" s="67"/>
    </row>
    <row r="445">
      <c r="A445" s="397"/>
      <c r="B445" s="305"/>
      <c r="C445" s="305"/>
      <c r="D445" s="305"/>
      <c r="E445" s="305"/>
      <c r="F445" s="398"/>
      <c r="G445" s="398"/>
      <c r="H445" s="398"/>
      <c r="I445" s="398"/>
      <c r="K445" s="67"/>
      <c r="L445" s="67"/>
      <c r="M445" s="67"/>
      <c r="N445" s="67"/>
    </row>
    <row r="446">
      <c r="A446" s="397"/>
      <c r="B446" s="305"/>
      <c r="C446" s="305"/>
      <c r="D446" s="305"/>
      <c r="E446" s="305"/>
      <c r="F446" s="398"/>
      <c r="G446" s="398"/>
      <c r="H446" s="398"/>
      <c r="I446" s="398"/>
      <c r="K446" s="67"/>
      <c r="L446" s="67"/>
      <c r="M446" s="67"/>
      <c r="N446" s="67"/>
    </row>
    <row r="447">
      <c r="A447" s="397"/>
      <c r="B447" s="305"/>
      <c r="C447" s="305"/>
      <c r="D447" s="305"/>
      <c r="E447" s="305"/>
      <c r="F447" s="398"/>
      <c r="G447" s="398"/>
      <c r="H447" s="398"/>
      <c r="I447" s="398"/>
      <c r="K447" s="67"/>
      <c r="L447" s="67"/>
      <c r="M447" s="67"/>
      <c r="N447" s="67"/>
    </row>
    <row r="448">
      <c r="A448" s="397"/>
      <c r="B448" s="305"/>
      <c r="C448" s="305"/>
      <c r="D448" s="305"/>
      <c r="E448" s="305"/>
      <c r="F448" s="398"/>
      <c r="G448" s="398"/>
      <c r="H448" s="398"/>
      <c r="I448" s="398"/>
      <c r="K448" s="67"/>
      <c r="L448" s="67"/>
      <c r="M448" s="67"/>
      <c r="N448" s="67"/>
    </row>
    <row r="449">
      <c r="A449" s="397"/>
      <c r="B449" s="305"/>
      <c r="C449" s="305"/>
      <c r="D449" s="305"/>
      <c r="E449" s="305"/>
      <c r="F449" s="398"/>
      <c r="G449" s="398"/>
      <c r="H449" s="398"/>
      <c r="I449" s="398"/>
      <c r="K449" s="67"/>
      <c r="L449" s="67"/>
      <c r="M449" s="67"/>
      <c r="N449" s="67"/>
    </row>
    <row r="450">
      <c r="A450" s="397"/>
      <c r="B450" s="305"/>
      <c r="C450" s="305"/>
      <c r="D450" s="305"/>
      <c r="E450" s="305"/>
      <c r="F450" s="398"/>
      <c r="G450" s="398"/>
      <c r="H450" s="398"/>
      <c r="I450" s="398"/>
      <c r="K450" s="67"/>
      <c r="L450" s="67"/>
      <c r="M450" s="67"/>
      <c r="N450" s="67"/>
    </row>
    <row r="451">
      <c r="A451" s="397"/>
      <c r="B451" s="305"/>
      <c r="C451" s="305"/>
      <c r="D451" s="305"/>
      <c r="E451" s="305"/>
      <c r="F451" s="398"/>
      <c r="G451" s="398"/>
      <c r="H451" s="398"/>
      <c r="I451" s="398"/>
      <c r="K451" s="67"/>
      <c r="L451" s="67"/>
      <c r="M451" s="67"/>
      <c r="N451" s="67"/>
    </row>
    <row r="452">
      <c r="A452" s="397"/>
      <c r="B452" s="305"/>
      <c r="C452" s="305"/>
      <c r="D452" s="305"/>
      <c r="E452" s="305"/>
      <c r="F452" s="398"/>
      <c r="G452" s="398"/>
      <c r="H452" s="398"/>
      <c r="I452" s="398"/>
      <c r="K452" s="67"/>
      <c r="L452" s="67"/>
      <c r="M452" s="67"/>
      <c r="N452" s="67"/>
    </row>
    <row r="453">
      <c r="A453" s="397"/>
      <c r="B453" s="305"/>
      <c r="C453" s="305"/>
      <c r="D453" s="305"/>
      <c r="E453" s="305"/>
      <c r="F453" s="398"/>
      <c r="G453" s="398"/>
      <c r="H453" s="398"/>
      <c r="I453" s="398"/>
      <c r="K453" s="67"/>
      <c r="L453" s="67"/>
      <c r="M453" s="67"/>
      <c r="N453" s="67"/>
    </row>
    <row r="454">
      <c r="A454" s="397"/>
      <c r="B454" s="305"/>
      <c r="C454" s="305"/>
      <c r="D454" s="305"/>
      <c r="E454" s="305"/>
      <c r="F454" s="398"/>
      <c r="G454" s="398"/>
      <c r="H454" s="398"/>
      <c r="I454" s="398"/>
      <c r="K454" s="67"/>
      <c r="L454" s="67"/>
      <c r="M454" s="67"/>
      <c r="N454" s="67"/>
    </row>
    <row r="455">
      <c r="A455" s="397"/>
      <c r="B455" s="305"/>
      <c r="C455" s="305"/>
      <c r="D455" s="305"/>
      <c r="E455" s="305"/>
      <c r="F455" s="398"/>
      <c r="G455" s="398"/>
      <c r="H455" s="398"/>
      <c r="I455" s="398"/>
      <c r="K455" s="67"/>
      <c r="L455" s="67"/>
      <c r="M455" s="67"/>
      <c r="N455" s="67"/>
    </row>
    <row r="456">
      <c r="A456" s="397"/>
      <c r="B456" s="305"/>
      <c r="C456" s="305"/>
      <c r="D456" s="305"/>
      <c r="E456" s="305"/>
      <c r="F456" s="398"/>
      <c r="G456" s="398"/>
      <c r="H456" s="398"/>
      <c r="I456" s="398"/>
      <c r="K456" s="67"/>
      <c r="L456" s="67"/>
      <c r="M456" s="67"/>
      <c r="N456" s="67"/>
    </row>
    <row r="457">
      <c r="A457" s="397"/>
      <c r="B457" s="305"/>
      <c r="C457" s="305"/>
      <c r="D457" s="305"/>
      <c r="E457" s="305"/>
      <c r="F457" s="398"/>
      <c r="G457" s="398"/>
      <c r="H457" s="398"/>
      <c r="I457" s="398"/>
      <c r="K457" s="67"/>
      <c r="L457" s="67"/>
      <c r="M457" s="67"/>
      <c r="N457" s="67"/>
    </row>
    <row r="458">
      <c r="A458" s="397"/>
      <c r="B458" s="305"/>
      <c r="C458" s="305"/>
      <c r="D458" s="305"/>
      <c r="E458" s="305"/>
      <c r="F458" s="398"/>
      <c r="G458" s="398"/>
      <c r="H458" s="398"/>
      <c r="I458" s="398"/>
      <c r="K458" s="67"/>
      <c r="L458" s="67"/>
      <c r="M458" s="67"/>
      <c r="N458" s="67"/>
    </row>
    <row r="459">
      <c r="A459" s="397"/>
      <c r="B459" s="305"/>
      <c r="C459" s="305"/>
      <c r="D459" s="305"/>
      <c r="E459" s="305"/>
      <c r="F459" s="398"/>
      <c r="G459" s="398"/>
      <c r="H459" s="398"/>
      <c r="I459" s="398"/>
      <c r="K459" s="67"/>
      <c r="L459" s="67"/>
      <c r="M459" s="67"/>
      <c r="N459" s="67"/>
    </row>
    <row r="460">
      <c r="A460" s="397"/>
      <c r="B460" s="305"/>
      <c r="C460" s="305"/>
      <c r="D460" s="305"/>
      <c r="E460" s="305"/>
      <c r="F460" s="398"/>
      <c r="G460" s="398"/>
      <c r="H460" s="398"/>
      <c r="I460" s="398"/>
      <c r="K460" s="67"/>
      <c r="L460" s="67"/>
      <c r="M460" s="67"/>
      <c r="N460" s="67"/>
    </row>
    <row r="461">
      <c r="A461" s="397"/>
      <c r="B461" s="305"/>
      <c r="C461" s="305"/>
      <c r="D461" s="305"/>
      <c r="E461" s="305"/>
      <c r="F461" s="398"/>
      <c r="G461" s="398"/>
      <c r="H461" s="398"/>
      <c r="I461" s="398"/>
      <c r="K461" s="67"/>
      <c r="L461" s="67"/>
      <c r="M461" s="67"/>
      <c r="N461" s="67"/>
    </row>
    <row r="462">
      <c r="A462" s="397"/>
      <c r="B462" s="305"/>
      <c r="C462" s="305"/>
      <c r="D462" s="305"/>
      <c r="E462" s="305"/>
      <c r="F462" s="398"/>
      <c r="G462" s="398"/>
      <c r="H462" s="398"/>
      <c r="I462" s="398"/>
      <c r="K462" s="67"/>
      <c r="L462" s="67"/>
      <c r="M462" s="67"/>
      <c r="N462" s="67"/>
    </row>
    <row r="463">
      <c r="A463" s="397"/>
      <c r="B463" s="305"/>
      <c r="C463" s="305"/>
      <c r="D463" s="305"/>
      <c r="E463" s="305"/>
      <c r="F463" s="398"/>
      <c r="G463" s="398"/>
      <c r="H463" s="398"/>
      <c r="I463" s="398"/>
      <c r="K463" s="67"/>
      <c r="L463" s="67"/>
      <c r="M463" s="67"/>
      <c r="N463" s="67"/>
    </row>
    <row r="464">
      <c r="A464" s="397"/>
      <c r="B464" s="305"/>
      <c r="C464" s="305"/>
      <c r="D464" s="305"/>
      <c r="E464" s="305"/>
      <c r="F464" s="398"/>
      <c r="G464" s="398"/>
      <c r="H464" s="398"/>
      <c r="I464" s="398"/>
      <c r="K464" s="67"/>
      <c r="L464" s="67"/>
      <c r="M464" s="67"/>
      <c r="N464" s="67"/>
    </row>
    <row r="465">
      <c r="A465" s="397"/>
      <c r="B465" s="305"/>
      <c r="C465" s="305"/>
      <c r="D465" s="305"/>
      <c r="E465" s="305"/>
      <c r="F465" s="398"/>
      <c r="G465" s="398"/>
      <c r="H465" s="398"/>
      <c r="I465" s="398"/>
      <c r="K465" s="67"/>
      <c r="L465" s="67"/>
      <c r="M465" s="67"/>
      <c r="N465" s="67"/>
    </row>
    <row r="466">
      <c r="A466" s="397"/>
      <c r="B466" s="305"/>
      <c r="C466" s="305"/>
      <c r="D466" s="305"/>
      <c r="E466" s="305"/>
      <c r="F466" s="398"/>
      <c r="G466" s="398"/>
      <c r="H466" s="398"/>
      <c r="I466" s="398"/>
      <c r="K466" s="67"/>
      <c r="L466" s="67"/>
      <c r="M466" s="67"/>
      <c r="N466" s="67"/>
    </row>
    <row r="467">
      <c r="A467" s="397"/>
      <c r="B467" s="305"/>
      <c r="C467" s="305"/>
      <c r="D467" s="305"/>
      <c r="E467" s="305"/>
      <c r="F467" s="398"/>
      <c r="G467" s="398"/>
      <c r="H467" s="398"/>
      <c r="I467" s="398"/>
      <c r="K467" s="67"/>
      <c r="L467" s="67"/>
      <c r="M467" s="67"/>
      <c r="N467" s="67"/>
    </row>
    <row r="468">
      <c r="A468" s="397"/>
      <c r="B468" s="305"/>
      <c r="C468" s="305"/>
      <c r="D468" s="305"/>
      <c r="E468" s="305"/>
      <c r="F468" s="398"/>
      <c r="G468" s="398"/>
      <c r="H468" s="398"/>
      <c r="I468" s="398"/>
      <c r="K468" s="67"/>
      <c r="L468" s="67"/>
      <c r="M468" s="67"/>
      <c r="N468" s="67"/>
    </row>
    <row r="469">
      <c r="A469" s="397"/>
      <c r="B469" s="305"/>
      <c r="C469" s="305"/>
      <c r="D469" s="305"/>
      <c r="E469" s="305"/>
      <c r="F469" s="398"/>
      <c r="G469" s="398"/>
      <c r="H469" s="398"/>
      <c r="I469" s="398"/>
      <c r="K469" s="67"/>
      <c r="L469" s="67"/>
      <c r="M469" s="67"/>
      <c r="N469" s="67"/>
    </row>
    <row r="470">
      <c r="A470" s="397"/>
      <c r="B470" s="305"/>
      <c r="C470" s="305"/>
      <c r="D470" s="305"/>
      <c r="E470" s="305"/>
      <c r="F470" s="398"/>
      <c r="G470" s="398"/>
      <c r="H470" s="398"/>
      <c r="I470" s="398"/>
      <c r="K470" s="67"/>
      <c r="L470" s="67"/>
      <c r="M470" s="67"/>
      <c r="N470" s="67"/>
    </row>
    <row r="471">
      <c r="A471" s="397"/>
      <c r="B471" s="305"/>
      <c r="C471" s="305"/>
      <c r="D471" s="305"/>
      <c r="E471" s="305"/>
      <c r="F471" s="398"/>
      <c r="G471" s="398"/>
      <c r="H471" s="398"/>
      <c r="I471" s="398"/>
      <c r="K471" s="67"/>
      <c r="L471" s="67"/>
      <c r="M471" s="67"/>
      <c r="N471" s="67"/>
    </row>
    <row r="472">
      <c r="A472" s="397"/>
      <c r="B472" s="305"/>
      <c r="C472" s="305"/>
      <c r="D472" s="305"/>
      <c r="E472" s="305"/>
      <c r="F472" s="398"/>
      <c r="G472" s="398"/>
      <c r="H472" s="398"/>
      <c r="I472" s="398"/>
      <c r="K472" s="67"/>
      <c r="L472" s="67"/>
      <c r="M472" s="67"/>
      <c r="N472" s="67"/>
    </row>
    <row r="473">
      <c r="A473" s="397"/>
      <c r="B473" s="305"/>
      <c r="C473" s="305"/>
      <c r="D473" s="305"/>
      <c r="E473" s="305"/>
      <c r="F473" s="398"/>
      <c r="G473" s="398"/>
      <c r="H473" s="398"/>
      <c r="I473" s="398"/>
      <c r="K473" s="67"/>
      <c r="L473" s="67"/>
      <c r="M473" s="67"/>
      <c r="N473" s="67"/>
    </row>
    <row r="474">
      <c r="A474" s="397"/>
      <c r="B474" s="305"/>
      <c r="C474" s="305"/>
      <c r="D474" s="305"/>
      <c r="E474" s="305"/>
      <c r="F474" s="398"/>
      <c r="G474" s="398"/>
      <c r="H474" s="398"/>
      <c r="I474" s="398"/>
      <c r="K474" s="67"/>
      <c r="L474" s="67"/>
      <c r="M474" s="67"/>
      <c r="N474" s="67"/>
    </row>
    <row r="475">
      <c r="A475" s="397"/>
      <c r="B475" s="305"/>
      <c r="C475" s="305"/>
      <c r="D475" s="305"/>
      <c r="E475" s="305"/>
      <c r="F475" s="398"/>
      <c r="G475" s="398"/>
      <c r="H475" s="398"/>
      <c r="I475" s="398"/>
      <c r="K475" s="67"/>
      <c r="L475" s="67"/>
      <c r="M475" s="67"/>
      <c r="N475" s="67"/>
    </row>
    <row r="476">
      <c r="A476" s="397"/>
      <c r="B476" s="305"/>
      <c r="C476" s="305"/>
      <c r="D476" s="305"/>
      <c r="E476" s="305"/>
      <c r="F476" s="398"/>
      <c r="G476" s="398"/>
      <c r="H476" s="398"/>
      <c r="I476" s="398"/>
      <c r="K476" s="67"/>
      <c r="L476" s="67"/>
      <c r="M476" s="67"/>
      <c r="N476" s="67"/>
    </row>
    <row r="477">
      <c r="A477" s="397"/>
      <c r="B477" s="305"/>
      <c r="C477" s="305"/>
      <c r="D477" s="305"/>
      <c r="E477" s="305"/>
      <c r="F477" s="398"/>
      <c r="G477" s="398"/>
      <c r="H477" s="398"/>
      <c r="I477" s="398"/>
      <c r="K477" s="67"/>
      <c r="L477" s="67"/>
      <c r="M477" s="67"/>
      <c r="N477" s="67"/>
    </row>
    <row r="478">
      <c r="A478" s="397"/>
      <c r="B478" s="305"/>
      <c r="C478" s="305"/>
      <c r="D478" s="305"/>
      <c r="E478" s="305"/>
      <c r="F478" s="398"/>
      <c r="G478" s="398"/>
      <c r="H478" s="398"/>
      <c r="I478" s="398"/>
      <c r="K478" s="67"/>
      <c r="L478" s="67"/>
      <c r="M478" s="67"/>
      <c r="N478" s="67"/>
    </row>
    <row r="479">
      <c r="A479" s="397"/>
      <c r="B479" s="305"/>
      <c r="C479" s="305"/>
      <c r="D479" s="305"/>
      <c r="E479" s="305"/>
      <c r="F479" s="398"/>
      <c r="G479" s="398"/>
      <c r="H479" s="398"/>
      <c r="I479" s="398"/>
      <c r="K479" s="67"/>
      <c r="L479" s="67"/>
      <c r="M479" s="67"/>
      <c r="N479" s="67"/>
    </row>
    <row r="480">
      <c r="A480" s="397"/>
      <c r="B480" s="305"/>
      <c r="C480" s="305"/>
      <c r="D480" s="305"/>
      <c r="E480" s="305"/>
      <c r="F480" s="398"/>
      <c r="G480" s="398"/>
      <c r="H480" s="398"/>
      <c r="I480" s="398"/>
      <c r="K480" s="67"/>
      <c r="L480" s="67"/>
      <c r="M480" s="67"/>
      <c r="N480" s="67"/>
    </row>
    <row r="481">
      <c r="A481" s="397"/>
      <c r="B481" s="305"/>
      <c r="C481" s="305"/>
      <c r="D481" s="305"/>
      <c r="E481" s="305"/>
      <c r="F481" s="398"/>
      <c r="G481" s="398"/>
      <c r="H481" s="398"/>
      <c r="I481" s="398"/>
      <c r="K481" s="67"/>
      <c r="L481" s="67"/>
      <c r="M481" s="67"/>
      <c r="N481" s="67"/>
    </row>
    <row r="482">
      <c r="A482" s="397"/>
      <c r="B482" s="305"/>
      <c r="C482" s="305"/>
      <c r="D482" s="305"/>
      <c r="E482" s="305"/>
      <c r="F482" s="398"/>
      <c r="G482" s="398"/>
      <c r="H482" s="398"/>
      <c r="I482" s="398"/>
      <c r="K482" s="67"/>
      <c r="L482" s="67"/>
      <c r="M482" s="67"/>
      <c r="N482" s="67"/>
    </row>
    <row r="483">
      <c r="A483" s="397"/>
      <c r="B483" s="305"/>
      <c r="C483" s="305"/>
      <c r="D483" s="305"/>
      <c r="E483" s="305"/>
      <c r="F483" s="398"/>
      <c r="G483" s="398"/>
      <c r="H483" s="398"/>
      <c r="I483" s="398"/>
      <c r="K483" s="67"/>
      <c r="L483" s="67"/>
      <c r="M483" s="67"/>
      <c r="N483" s="67"/>
    </row>
    <row r="484">
      <c r="A484" s="397"/>
      <c r="B484" s="305"/>
      <c r="C484" s="305"/>
      <c r="D484" s="305"/>
      <c r="E484" s="305"/>
      <c r="F484" s="398"/>
      <c r="G484" s="398"/>
      <c r="H484" s="398"/>
      <c r="I484" s="398"/>
      <c r="K484" s="67"/>
      <c r="L484" s="67"/>
      <c r="M484" s="67"/>
      <c r="N484" s="67"/>
    </row>
    <row r="485">
      <c r="A485" s="397"/>
      <c r="B485" s="305"/>
      <c r="C485" s="305"/>
      <c r="D485" s="305"/>
      <c r="E485" s="305"/>
      <c r="F485" s="398"/>
      <c r="G485" s="398"/>
      <c r="H485" s="398"/>
      <c r="I485" s="398"/>
      <c r="K485" s="67"/>
      <c r="L485" s="67"/>
      <c r="M485" s="67"/>
      <c r="N485" s="67"/>
    </row>
    <row r="486">
      <c r="A486" s="397"/>
      <c r="B486" s="305"/>
      <c r="C486" s="305"/>
      <c r="D486" s="305"/>
      <c r="E486" s="305"/>
      <c r="F486" s="398"/>
      <c r="G486" s="398"/>
      <c r="H486" s="398"/>
      <c r="I486" s="398"/>
      <c r="K486" s="67"/>
      <c r="L486" s="67"/>
      <c r="M486" s="67"/>
      <c r="N486" s="67"/>
    </row>
    <row r="487">
      <c r="A487" s="397"/>
      <c r="B487" s="305"/>
      <c r="C487" s="305"/>
      <c r="D487" s="305"/>
      <c r="E487" s="305"/>
      <c r="F487" s="398"/>
      <c r="G487" s="398"/>
      <c r="H487" s="398"/>
      <c r="I487" s="398"/>
      <c r="K487" s="67"/>
      <c r="L487" s="67"/>
      <c r="M487" s="67"/>
      <c r="N487" s="67"/>
    </row>
    <row r="488">
      <c r="A488" s="397"/>
      <c r="B488" s="305"/>
      <c r="C488" s="305"/>
      <c r="D488" s="305"/>
      <c r="E488" s="305"/>
      <c r="F488" s="398"/>
      <c r="G488" s="398"/>
      <c r="H488" s="398"/>
      <c r="I488" s="398"/>
      <c r="K488" s="67"/>
      <c r="L488" s="67"/>
      <c r="M488" s="67"/>
      <c r="N488" s="67"/>
    </row>
    <row r="489">
      <c r="A489" s="397"/>
      <c r="B489" s="305"/>
      <c r="C489" s="305"/>
      <c r="D489" s="305"/>
      <c r="E489" s="305"/>
      <c r="F489" s="398"/>
      <c r="G489" s="398"/>
      <c r="H489" s="398"/>
      <c r="I489" s="398"/>
      <c r="K489" s="67"/>
      <c r="L489" s="67"/>
      <c r="M489" s="67"/>
      <c r="N489" s="67"/>
    </row>
    <row r="490">
      <c r="A490" s="397"/>
      <c r="B490" s="305"/>
      <c r="C490" s="305"/>
      <c r="D490" s="305"/>
      <c r="E490" s="305"/>
      <c r="F490" s="398"/>
      <c r="G490" s="398"/>
      <c r="H490" s="398"/>
      <c r="I490" s="398"/>
      <c r="K490" s="67"/>
      <c r="L490" s="67"/>
      <c r="M490" s="67"/>
      <c r="N490" s="67"/>
    </row>
    <row r="491">
      <c r="A491" s="397"/>
      <c r="B491" s="305"/>
      <c r="C491" s="305"/>
      <c r="D491" s="305"/>
      <c r="E491" s="305"/>
      <c r="F491" s="398"/>
      <c r="G491" s="398"/>
      <c r="H491" s="398"/>
      <c r="I491" s="398"/>
      <c r="K491" s="67"/>
      <c r="L491" s="67"/>
      <c r="M491" s="67"/>
      <c r="N491" s="67"/>
    </row>
    <row r="492">
      <c r="A492" s="397"/>
      <c r="B492" s="305"/>
      <c r="C492" s="305"/>
      <c r="D492" s="305"/>
      <c r="E492" s="305"/>
      <c r="F492" s="398"/>
      <c r="G492" s="398"/>
      <c r="H492" s="398"/>
      <c r="I492" s="398"/>
      <c r="K492" s="67"/>
      <c r="L492" s="67"/>
      <c r="M492" s="67"/>
      <c r="N492" s="67"/>
    </row>
    <row r="493">
      <c r="A493" s="397"/>
      <c r="B493" s="305"/>
      <c r="C493" s="305"/>
      <c r="D493" s="305"/>
      <c r="E493" s="305"/>
      <c r="F493" s="398"/>
      <c r="G493" s="398"/>
      <c r="H493" s="398"/>
      <c r="I493" s="398"/>
      <c r="K493" s="67"/>
      <c r="L493" s="67"/>
      <c r="M493" s="67"/>
      <c r="N493" s="67"/>
    </row>
    <row r="494">
      <c r="A494" s="397"/>
      <c r="B494" s="305"/>
      <c r="C494" s="305"/>
      <c r="D494" s="305"/>
      <c r="E494" s="305"/>
      <c r="F494" s="398"/>
      <c r="G494" s="398"/>
      <c r="H494" s="398"/>
      <c r="I494" s="398"/>
      <c r="K494" s="67"/>
      <c r="L494" s="67"/>
      <c r="M494" s="67"/>
      <c r="N494" s="67"/>
    </row>
    <row r="495">
      <c r="A495" s="397"/>
      <c r="B495" s="305"/>
      <c r="C495" s="305"/>
      <c r="D495" s="305"/>
      <c r="E495" s="305"/>
      <c r="F495" s="398"/>
      <c r="G495" s="398"/>
      <c r="H495" s="398"/>
      <c r="I495" s="398"/>
      <c r="K495" s="67"/>
      <c r="L495" s="67"/>
      <c r="M495" s="67"/>
      <c r="N495" s="67"/>
    </row>
    <row r="496">
      <c r="A496" s="397"/>
      <c r="B496" s="305"/>
      <c r="C496" s="305"/>
      <c r="D496" s="305"/>
      <c r="E496" s="305"/>
      <c r="F496" s="398"/>
      <c r="G496" s="398"/>
      <c r="H496" s="398"/>
      <c r="I496" s="398"/>
      <c r="K496" s="67"/>
      <c r="L496" s="67"/>
      <c r="M496" s="67"/>
      <c r="N496" s="67"/>
    </row>
    <row r="497">
      <c r="A497" s="397"/>
      <c r="B497" s="305"/>
      <c r="C497" s="305"/>
      <c r="D497" s="305"/>
      <c r="E497" s="305"/>
      <c r="F497" s="398"/>
      <c r="G497" s="398"/>
      <c r="H497" s="398"/>
      <c r="I497" s="398"/>
      <c r="K497" s="67"/>
      <c r="L497" s="67"/>
      <c r="M497" s="67"/>
      <c r="N497" s="67"/>
    </row>
    <row r="498">
      <c r="A498" s="397"/>
      <c r="B498" s="305"/>
      <c r="C498" s="305"/>
      <c r="D498" s="305"/>
      <c r="E498" s="305"/>
      <c r="F498" s="398"/>
      <c r="G498" s="398"/>
      <c r="H498" s="398"/>
      <c r="I498" s="398"/>
      <c r="K498" s="67"/>
      <c r="L498" s="67"/>
      <c r="M498" s="67"/>
      <c r="N498" s="67"/>
    </row>
    <row r="499">
      <c r="A499" s="397"/>
      <c r="B499" s="305"/>
      <c r="C499" s="305"/>
      <c r="D499" s="305"/>
      <c r="E499" s="305"/>
      <c r="F499" s="398"/>
      <c r="G499" s="398"/>
      <c r="H499" s="398"/>
      <c r="I499" s="398"/>
      <c r="K499" s="67"/>
      <c r="L499" s="67"/>
      <c r="M499" s="67"/>
      <c r="N499" s="67"/>
    </row>
    <row r="500">
      <c r="A500" s="397"/>
      <c r="B500" s="305"/>
      <c r="C500" s="305"/>
      <c r="D500" s="305"/>
      <c r="E500" s="305"/>
      <c r="F500" s="398"/>
      <c r="G500" s="398"/>
      <c r="H500" s="398"/>
      <c r="I500" s="398"/>
      <c r="K500" s="67"/>
      <c r="L500" s="67"/>
      <c r="M500" s="67"/>
      <c r="N500" s="67"/>
    </row>
    <row r="501">
      <c r="A501" s="397"/>
      <c r="B501" s="305"/>
      <c r="C501" s="305"/>
      <c r="D501" s="305"/>
      <c r="E501" s="305"/>
      <c r="F501" s="398"/>
      <c r="G501" s="398"/>
      <c r="H501" s="398"/>
      <c r="I501" s="398"/>
      <c r="K501" s="67"/>
      <c r="L501" s="67"/>
      <c r="M501" s="67"/>
      <c r="N501" s="67"/>
    </row>
    <row r="502">
      <c r="A502" s="397"/>
      <c r="B502" s="305"/>
      <c r="C502" s="305"/>
      <c r="D502" s="305"/>
      <c r="E502" s="305"/>
      <c r="F502" s="398"/>
      <c r="G502" s="398"/>
      <c r="H502" s="398"/>
      <c r="I502" s="398"/>
      <c r="K502" s="67"/>
      <c r="L502" s="67"/>
      <c r="M502" s="67"/>
      <c r="N502" s="67"/>
    </row>
    <row r="503">
      <c r="A503" s="397"/>
      <c r="B503" s="305"/>
      <c r="C503" s="305"/>
      <c r="D503" s="305"/>
      <c r="E503" s="305"/>
      <c r="F503" s="398"/>
      <c r="G503" s="398"/>
      <c r="H503" s="398"/>
      <c r="I503" s="398"/>
      <c r="K503" s="67"/>
      <c r="L503" s="67"/>
      <c r="M503" s="67"/>
      <c r="N503" s="67"/>
    </row>
    <row r="504">
      <c r="A504" s="397"/>
      <c r="B504" s="305"/>
      <c r="C504" s="305"/>
      <c r="D504" s="305"/>
      <c r="E504" s="305"/>
      <c r="F504" s="398"/>
      <c r="G504" s="398"/>
      <c r="H504" s="398"/>
      <c r="I504" s="398"/>
      <c r="K504" s="67"/>
      <c r="L504" s="67"/>
      <c r="M504" s="67"/>
      <c r="N504" s="67"/>
    </row>
    <row r="505">
      <c r="A505" s="397"/>
      <c r="B505" s="305"/>
      <c r="C505" s="305"/>
      <c r="D505" s="305"/>
      <c r="E505" s="305"/>
      <c r="F505" s="398"/>
      <c r="G505" s="398"/>
      <c r="H505" s="398"/>
      <c r="I505" s="398"/>
      <c r="K505" s="67"/>
      <c r="L505" s="67"/>
      <c r="M505" s="67"/>
      <c r="N505" s="67"/>
    </row>
    <row r="506">
      <c r="A506" s="397"/>
      <c r="B506" s="305"/>
      <c r="C506" s="305"/>
      <c r="D506" s="305"/>
      <c r="E506" s="305"/>
      <c r="F506" s="398"/>
      <c r="G506" s="398"/>
      <c r="H506" s="398"/>
      <c r="I506" s="398"/>
      <c r="K506" s="67"/>
      <c r="L506" s="67"/>
      <c r="M506" s="67"/>
      <c r="N506" s="67"/>
    </row>
    <row r="507">
      <c r="A507" s="397"/>
      <c r="B507" s="305"/>
      <c r="C507" s="305"/>
      <c r="D507" s="305"/>
      <c r="E507" s="305"/>
      <c r="F507" s="398"/>
      <c r="G507" s="398"/>
      <c r="H507" s="398"/>
      <c r="I507" s="398"/>
      <c r="K507" s="67"/>
      <c r="L507" s="67"/>
      <c r="M507" s="67"/>
      <c r="N507" s="67"/>
    </row>
    <row r="508">
      <c r="A508" s="397"/>
      <c r="B508" s="305"/>
      <c r="C508" s="305"/>
      <c r="D508" s="305"/>
      <c r="E508" s="305"/>
      <c r="F508" s="398"/>
      <c r="G508" s="398"/>
      <c r="H508" s="398"/>
      <c r="I508" s="398"/>
      <c r="K508" s="67"/>
      <c r="L508" s="67"/>
      <c r="M508" s="67"/>
      <c r="N508" s="67"/>
    </row>
    <row r="509">
      <c r="A509" s="397"/>
      <c r="B509" s="305"/>
      <c r="C509" s="305"/>
      <c r="D509" s="305"/>
      <c r="E509" s="305"/>
      <c r="F509" s="398"/>
      <c r="G509" s="398"/>
      <c r="H509" s="398"/>
      <c r="I509" s="398"/>
      <c r="K509" s="67"/>
      <c r="L509" s="67"/>
      <c r="M509" s="67"/>
      <c r="N509" s="67"/>
    </row>
    <row r="510">
      <c r="A510" s="397"/>
      <c r="B510" s="305"/>
      <c r="C510" s="305"/>
      <c r="D510" s="305"/>
      <c r="E510" s="305"/>
      <c r="F510" s="398"/>
      <c r="G510" s="398"/>
      <c r="H510" s="398"/>
      <c r="I510" s="398"/>
      <c r="K510" s="67"/>
      <c r="L510" s="67"/>
      <c r="M510" s="67"/>
      <c r="N510" s="67"/>
    </row>
    <row r="511">
      <c r="A511" s="397"/>
      <c r="B511" s="305"/>
      <c r="C511" s="305"/>
      <c r="D511" s="305"/>
      <c r="E511" s="305"/>
      <c r="F511" s="398"/>
      <c r="G511" s="398"/>
      <c r="H511" s="398"/>
      <c r="I511" s="398"/>
      <c r="K511" s="67"/>
      <c r="L511" s="67"/>
      <c r="M511" s="67"/>
      <c r="N511" s="67"/>
    </row>
    <row r="512">
      <c r="A512" s="397"/>
      <c r="B512" s="305"/>
      <c r="C512" s="305"/>
      <c r="D512" s="305"/>
      <c r="E512" s="305"/>
      <c r="F512" s="398"/>
      <c r="G512" s="398"/>
      <c r="H512" s="398"/>
      <c r="I512" s="398"/>
      <c r="K512" s="67"/>
      <c r="L512" s="67"/>
      <c r="M512" s="67"/>
      <c r="N512" s="67"/>
    </row>
    <row r="513">
      <c r="A513" s="397"/>
      <c r="B513" s="305"/>
      <c r="C513" s="305"/>
      <c r="D513" s="305"/>
      <c r="E513" s="305"/>
      <c r="F513" s="398"/>
      <c r="G513" s="398"/>
      <c r="H513" s="398"/>
      <c r="I513" s="398"/>
      <c r="K513" s="67"/>
      <c r="L513" s="67"/>
      <c r="M513" s="67"/>
      <c r="N513" s="67"/>
    </row>
    <row r="514">
      <c r="A514" s="397"/>
      <c r="B514" s="305"/>
      <c r="C514" s="305"/>
      <c r="D514" s="305"/>
      <c r="E514" s="305"/>
      <c r="F514" s="398"/>
      <c r="G514" s="398"/>
      <c r="H514" s="398"/>
      <c r="I514" s="398"/>
      <c r="K514" s="67"/>
      <c r="L514" s="67"/>
      <c r="M514" s="67"/>
      <c r="N514" s="67"/>
    </row>
    <row r="515">
      <c r="A515" s="397"/>
      <c r="B515" s="305"/>
      <c r="C515" s="305"/>
      <c r="D515" s="305"/>
      <c r="E515" s="305"/>
      <c r="F515" s="398"/>
      <c r="G515" s="398"/>
      <c r="H515" s="398"/>
      <c r="I515" s="398"/>
      <c r="K515" s="67"/>
      <c r="L515" s="67"/>
      <c r="M515" s="67"/>
      <c r="N515" s="67"/>
    </row>
    <row r="516">
      <c r="A516" s="397"/>
      <c r="B516" s="305"/>
      <c r="C516" s="305"/>
      <c r="D516" s="305"/>
      <c r="E516" s="305"/>
      <c r="F516" s="398"/>
      <c r="G516" s="398"/>
      <c r="H516" s="398"/>
      <c r="I516" s="398"/>
      <c r="K516" s="67"/>
      <c r="L516" s="67"/>
      <c r="M516" s="67"/>
      <c r="N516" s="67"/>
    </row>
    <row r="517">
      <c r="A517" s="397"/>
      <c r="B517" s="305"/>
      <c r="C517" s="305"/>
      <c r="D517" s="305"/>
      <c r="E517" s="305"/>
      <c r="F517" s="398"/>
      <c r="G517" s="398"/>
      <c r="H517" s="398"/>
      <c r="I517" s="398"/>
      <c r="K517" s="67"/>
      <c r="L517" s="67"/>
      <c r="M517" s="67"/>
      <c r="N517" s="67"/>
    </row>
    <row r="518">
      <c r="A518" s="397"/>
      <c r="B518" s="305"/>
      <c r="C518" s="305"/>
      <c r="D518" s="305"/>
      <c r="E518" s="305"/>
      <c r="F518" s="398"/>
      <c r="G518" s="398"/>
      <c r="H518" s="398"/>
      <c r="I518" s="398"/>
      <c r="K518" s="67"/>
      <c r="L518" s="67"/>
      <c r="M518" s="67"/>
      <c r="N518" s="67"/>
    </row>
    <row r="519">
      <c r="A519" s="397"/>
      <c r="B519" s="305"/>
      <c r="C519" s="305"/>
      <c r="D519" s="305"/>
      <c r="E519" s="305"/>
      <c r="F519" s="398"/>
      <c r="G519" s="398"/>
      <c r="H519" s="398"/>
      <c r="I519" s="398"/>
      <c r="K519" s="67"/>
      <c r="L519" s="67"/>
      <c r="M519" s="67"/>
      <c r="N519" s="67"/>
    </row>
    <row r="520">
      <c r="A520" s="397"/>
      <c r="B520" s="305"/>
      <c r="C520" s="305"/>
      <c r="D520" s="305"/>
      <c r="E520" s="305"/>
      <c r="F520" s="398"/>
      <c r="G520" s="398"/>
      <c r="H520" s="398"/>
      <c r="I520" s="398"/>
      <c r="K520" s="67"/>
      <c r="L520" s="67"/>
      <c r="M520" s="67"/>
      <c r="N520" s="67"/>
    </row>
    <row r="521">
      <c r="A521" s="397"/>
      <c r="B521" s="305"/>
      <c r="C521" s="305"/>
      <c r="D521" s="305"/>
      <c r="E521" s="305"/>
      <c r="F521" s="398"/>
      <c r="G521" s="398"/>
      <c r="H521" s="398"/>
      <c r="I521" s="398"/>
      <c r="K521" s="67"/>
      <c r="L521" s="67"/>
      <c r="M521" s="67"/>
      <c r="N521" s="67"/>
    </row>
    <row r="522">
      <c r="A522" s="397"/>
      <c r="B522" s="305"/>
      <c r="C522" s="305"/>
      <c r="D522" s="305"/>
      <c r="E522" s="305"/>
      <c r="F522" s="398"/>
      <c r="G522" s="398"/>
      <c r="H522" s="398"/>
      <c r="I522" s="398"/>
      <c r="K522" s="67"/>
      <c r="L522" s="67"/>
      <c r="M522" s="67"/>
      <c r="N522" s="67"/>
    </row>
    <row r="523">
      <c r="A523" s="397"/>
      <c r="B523" s="305"/>
      <c r="C523" s="305"/>
      <c r="D523" s="305"/>
      <c r="E523" s="305"/>
      <c r="F523" s="398"/>
      <c r="G523" s="398"/>
      <c r="H523" s="398"/>
      <c r="I523" s="398"/>
      <c r="K523" s="67"/>
      <c r="L523" s="67"/>
      <c r="M523" s="67"/>
      <c r="N523" s="67"/>
    </row>
    <row r="524">
      <c r="A524" s="397"/>
      <c r="B524" s="305"/>
      <c r="C524" s="305"/>
      <c r="D524" s="305"/>
      <c r="E524" s="305"/>
      <c r="F524" s="398"/>
      <c r="G524" s="398"/>
      <c r="H524" s="398"/>
      <c r="I524" s="398"/>
      <c r="K524" s="67"/>
      <c r="L524" s="67"/>
      <c r="M524" s="67"/>
      <c r="N524" s="67"/>
    </row>
    <row r="525">
      <c r="A525" s="397"/>
      <c r="B525" s="305"/>
      <c r="C525" s="305"/>
      <c r="D525" s="305"/>
      <c r="E525" s="305"/>
      <c r="F525" s="398"/>
      <c r="G525" s="398"/>
      <c r="H525" s="398"/>
      <c r="I525" s="398"/>
      <c r="K525" s="67"/>
      <c r="L525" s="67"/>
      <c r="M525" s="67"/>
      <c r="N525" s="67"/>
    </row>
    <row r="526">
      <c r="A526" s="397"/>
      <c r="B526" s="305"/>
      <c r="C526" s="305"/>
      <c r="D526" s="305"/>
      <c r="E526" s="305"/>
      <c r="F526" s="398"/>
      <c r="G526" s="398"/>
      <c r="H526" s="398"/>
      <c r="I526" s="398"/>
      <c r="K526" s="67"/>
      <c r="L526" s="67"/>
      <c r="M526" s="67"/>
      <c r="N526" s="67"/>
    </row>
    <row r="527">
      <c r="A527" s="397"/>
      <c r="B527" s="305"/>
      <c r="C527" s="305"/>
      <c r="D527" s="305"/>
      <c r="E527" s="305"/>
      <c r="F527" s="398"/>
      <c r="G527" s="398"/>
      <c r="H527" s="398"/>
      <c r="I527" s="398"/>
      <c r="K527" s="67"/>
      <c r="L527" s="67"/>
      <c r="M527" s="67"/>
      <c r="N527" s="67"/>
    </row>
    <row r="528">
      <c r="A528" s="397"/>
      <c r="B528" s="305"/>
      <c r="C528" s="305"/>
      <c r="D528" s="305"/>
      <c r="E528" s="305"/>
      <c r="F528" s="398"/>
      <c r="G528" s="398"/>
      <c r="H528" s="398"/>
      <c r="I528" s="398"/>
      <c r="K528" s="67"/>
      <c r="L528" s="67"/>
      <c r="M528" s="67"/>
      <c r="N528" s="67"/>
    </row>
    <row r="529">
      <c r="A529" s="397"/>
      <c r="B529" s="305"/>
      <c r="C529" s="305"/>
      <c r="D529" s="305"/>
      <c r="E529" s="305"/>
      <c r="F529" s="398"/>
      <c r="G529" s="398"/>
      <c r="H529" s="398"/>
      <c r="I529" s="398"/>
      <c r="K529" s="67"/>
      <c r="L529" s="67"/>
      <c r="M529" s="67"/>
      <c r="N529" s="67"/>
    </row>
    <row r="530">
      <c r="A530" s="397"/>
      <c r="B530" s="305"/>
      <c r="C530" s="305"/>
      <c r="D530" s="305"/>
      <c r="E530" s="305"/>
      <c r="F530" s="398"/>
      <c r="G530" s="398"/>
      <c r="H530" s="398"/>
      <c r="I530" s="398"/>
      <c r="K530" s="67"/>
      <c r="L530" s="67"/>
      <c r="M530" s="67"/>
      <c r="N530" s="67"/>
    </row>
    <row r="531">
      <c r="A531" s="397"/>
      <c r="B531" s="305"/>
      <c r="C531" s="305"/>
      <c r="D531" s="305"/>
      <c r="E531" s="305"/>
      <c r="F531" s="398"/>
      <c r="G531" s="398"/>
      <c r="H531" s="398"/>
      <c r="I531" s="398"/>
      <c r="K531" s="67"/>
      <c r="L531" s="67"/>
      <c r="M531" s="67"/>
      <c r="N531" s="67"/>
    </row>
    <row r="532">
      <c r="A532" s="397"/>
      <c r="B532" s="305"/>
      <c r="C532" s="305"/>
      <c r="D532" s="305"/>
      <c r="E532" s="305"/>
      <c r="F532" s="398"/>
      <c r="G532" s="398"/>
      <c r="H532" s="398"/>
      <c r="I532" s="398"/>
      <c r="K532" s="67"/>
      <c r="L532" s="67"/>
      <c r="M532" s="67"/>
      <c r="N532" s="67"/>
    </row>
    <row r="533">
      <c r="A533" s="397"/>
      <c r="B533" s="305"/>
      <c r="C533" s="305"/>
      <c r="D533" s="305"/>
      <c r="E533" s="305"/>
      <c r="F533" s="398"/>
      <c r="G533" s="398"/>
      <c r="H533" s="398"/>
      <c r="I533" s="398"/>
      <c r="K533" s="67"/>
      <c r="L533" s="67"/>
      <c r="M533" s="67"/>
      <c r="N533" s="67"/>
    </row>
    <row r="534">
      <c r="A534" s="397"/>
      <c r="B534" s="305"/>
      <c r="C534" s="305"/>
      <c r="D534" s="305"/>
      <c r="E534" s="305"/>
      <c r="F534" s="398"/>
      <c r="G534" s="398"/>
      <c r="H534" s="398"/>
      <c r="I534" s="398"/>
      <c r="K534" s="67"/>
      <c r="L534" s="67"/>
      <c r="M534" s="67"/>
      <c r="N534" s="67"/>
    </row>
    <row r="535">
      <c r="A535" s="397"/>
      <c r="B535" s="305"/>
      <c r="C535" s="305"/>
      <c r="D535" s="305"/>
      <c r="E535" s="305"/>
      <c r="F535" s="398"/>
      <c r="G535" s="398"/>
      <c r="H535" s="398"/>
      <c r="I535" s="398"/>
      <c r="K535" s="67"/>
      <c r="L535" s="67"/>
      <c r="M535" s="67"/>
      <c r="N535" s="67"/>
    </row>
    <row r="536">
      <c r="A536" s="397"/>
      <c r="B536" s="305"/>
      <c r="C536" s="305"/>
      <c r="D536" s="305"/>
      <c r="E536" s="305"/>
      <c r="F536" s="398"/>
      <c r="G536" s="398"/>
      <c r="H536" s="398"/>
      <c r="I536" s="398"/>
      <c r="K536" s="67"/>
      <c r="L536" s="67"/>
      <c r="M536" s="67"/>
      <c r="N536" s="67"/>
    </row>
    <row r="537">
      <c r="A537" s="397"/>
      <c r="B537" s="305"/>
      <c r="C537" s="305"/>
      <c r="D537" s="305"/>
      <c r="E537" s="305"/>
      <c r="F537" s="398"/>
      <c r="G537" s="398"/>
      <c r="H537" s="398"/>
      <c r="I537" s="398"/>
      <c r="K537" s="67"/>
      <c r="L537" s="67"/>
      <c r="M537" s="67"/>
      <c r="N537" s="67"/>
    </row>
    <row r="538">
      <c r="A538" s="397"/>
      <c r="B538" s="305"/>
      <c r="C538" s="305"/>
      <c r="D538" s="305"/>
      <c r="E538" s="305"/>
      <c r="F538" s="398"/>
      <c r="G538" s="398"/>
      <c r="H538" s="398"/>
      <c r="I538" s="398"/>
      <c r="K538" s="67"/>
      <c r="L538" s="67"/>
      <c r="M538" s="67"/>
      <c r="N538" s="67"/>
    </row>
    <row r="539">
      <c r="A539" s="397"/>
      <c r="B539" s="305"/>
      <c r="C539" s="305"/>
      <c r="D539" s="305"/>
      <c r="E539" s="305"/>
      <c r="F539" s="398"/>
      <c r="G539" s="398"/>
      <c r="H539" s="398"/>
      <c r="I539" s="398"/>
      <c r="K539" s="67"/>
      <c r="L539" s="67"/>
      <c r="M539" s="67"/>
      <c r="N539" s="67"/>
    </row>
    <row r="540">
      <c r="A540" s="397"/>
      <c r="B540" s="305"/>
      <c r="C540" s="305"/>
      <c r="D540" s="305"/>
      <c r="E540" s="305"/>
      <c r="F540" s="398"/>
      <c r="G540" s="398"/>
      <c r="H540" s="398"/>
      <c r="I540" s="398"/>
      <c r="K540" s="67"/>
      <c r="L540" s="67"/>
      <c r="M540" s="67"/>
      <c r="N540" s="67"/>
    </row>
    <row r="541">
      <c r="A541" s="397"/>
      <c r="B541" s="305"/>
      <c r="C541" s="305"/>
      <c r="D541" s="305"/>
      <c r="E541" s="305"/>
      <c r="F541" s="398"/>
      <c r="G541" s="398"/>
      <c r="H541" s="398"/>
      <c r="I541" s="398"/>
      <c r="K541" s="67"/>
      <c r="L541" s="67"/>
      <c r="M541" s="67"/>
      <c r="N541" s="67"/>
    </row>
    <row r="542">
      <c r="A542" s="397"/>
      <c r="B542" s="305"/>
      <c r="C542" s="305"/>
      <c r="D542" s="305"/>
      <c r="E542" s="305"/>
      <c r="F542" s="398"/>
      <c r="G542" s="398"/>
      <c r="H542" s="398"/>
      <c r="I542" s="398"/>
      <c r="K542" s="67"/>
      <c r="L542" s="67"/>
      <c r="M542" s="67"/>
      <c r="N542" s="67"/>
    </row>
    <row r="543">
      <c r="A543" s="397"/>
      <c r="B543" s="305"/>
      <c r="C543" s="305"/>
      <c r="D543" s="305"/>
      <c r="E543" s="305"/>
      <c r="F543" s="398"/>
      <c r="G543" s="398"/>
      <c r="H543" s="398"/>
      <c r="I543" s="398"/>
      <c r="K543" s="67"/>
      <c r="L543" s="67"/>
      <c r="M543" s="67"/>
      <c r="N543" s="67"/>
    </row>
    <row r="544">
      <c r="A544" s="397"/>
      <c r="B544" s="305"/>
      <c r="C544" s="305"/>
      <c r="D544" s="305"/>
      <c r="E544" s="305"/>
      <c r="F544" s="398"/>
      <c r="G544" s="398"/>
      <c r="H544" s="398"/>
      <c r="I544" s="398"/>
      <c r="K544" s="67"/>
      <c r="L544" s="67"/>
      <c r="M544" s="67"/>
      <c r="N544" s="67"/>
    </row>
    <row r="545">
      <c r="A545" s="397"/>
      <c r="B545" s="305"/>
      <c r="C545" s="305"/>
      <c r="D545" s="305"/>
      <c r="E545" s="305"/>
      <c r="F545" s="398"/>
      <c r="G545" s="398"/>
      <c r="H545" s="398"/>
      <c r="I545" s="398"/>
      <c r="K545" s="67"/>
      <c r="L545" s="67"/>
      <c r="M545" s="67"/>
      <c r="N545" s="67"/>
    </row>
    <row r="546">
      <c r="A546" s="397"/>
      <c r="B546" s="305"/>
      <c r="C546" s="305"/>
      <c r="D546" s="305"/>
      <c r="E546" s="305"/>
      <c r="F546" s="398"/>
      <c r="G546" s="398"/>
      <c r="H546" s="398"/>
      <c r="I546" s="398"/>
      <c r="K546" s="67"/>
      <c r="L546" s="67"/>
      <c r="M546" s="67"/>
      <c r="N546" s="67"/>
    </row>
    <row r="547">
      <c r="A547" s="397"/>
      <c r="B547" s="305"/>
      <c r="C547" s="305"/>
      <c r="D547" s="305"/>
      <c r="E547" s="305"/>
      <c r="F547" s="398"/>
      <c r="G547" s="398"/>
      <c r="H547" s="398"/>
      <c r="I547" s="398"/>
      <c r="K547" s="67"/>
      <c r="L547" s="67"/>
      <c r="M547" s="67"/>
      <c r="N547" s="67"/>
    </row>
    <row r="548">
      <c r="A548" s="397"/>
      <c r="B548" s="305"/>
      <c r="C548" s="305"/>
      <c r="D548" s="305"/>
      <c r="E548" s="305"/>
      <c r="F548" s="398"/>
      <c r="G548" s="398"/>
      <c r="H548" s="398"/>
      <c r="I548" s="398"/>
      <c r="K548" s="67"/>
      <c r="L548" s="67"/>
      <c r="M548" s="67"/>
      <c r="N548" s="67"/>
    </row>
    <row r="549">
      <c r="A549" s="397"/>
      <c r="B549" s="305"/>
      <c r="C549" s="305"/>
      <c r="D549" s="305"/>
      <c r="E549" s="305"/>
      <c r="F549" s="398"/>
      <c r="G549" s="398"/>
      <c r="H549" s="398"/>
      <c r="I549" s="398"/>
      <c r="K549" s="67"/>
      <c r="L549" s="67"/>
      <c r="M549" s="67"/>
      <c r="N549" s="67"/>
    </row>
    <row r="550">
      <c r="A550" s="397"/>
      <c r="B550" s="305"/>
      <c r="C550" s="305"/>
      <c r="D550" s="305"/>
      <c r="E550" s="305"/>
      <c r="F550" s="398"/>
      <c r="G550" s="398"/>
      <c r="H550" s="398"/>
      <c r="I550" s="398"/>
      <c r="K550" s="67"/>
      <c r="L550" s="67"/>
      <c r="M550" s="67"/>
      <c r="N550" s="67"/>
    </row>
    <row r="551">
      <c r="A551" s="397"/>
      <c r="B551" s="305"/>
      <c r="C551" s="305"/>
      <c r="D551" s="305"/>
      <c r="E551" s="305"/>
      <c r="F551" s="398"/>
      <c r="G551" s="398"/>
      <c r="H551" s="398"/>
      <c r="I551" s="398"/>
      <c r="K551" s="67"/>
      <c r="L551" s="67"/>
      <c r="M551" s="67"/>
      <c r="N551" s="67"/>
    </row>
    <row r="552">
      <c r="A552" s="397"/>
      <c r="B552" s="305"/>
      <c r="C552" s="305"/>
      <c r="D552" s="305"/>
      <c r="E552" s="305"/>
      <c r="F552" s="398"/>
      <c r="G552" s="398"/>
      <c r="H552" s="398"/>
      <c r="I552" s="398"/>
      <c r="K552" s="67"/>
      <c r="L552" s="67"/>
      <c r="M552" s="67"/>
      <c r="N552" s="67"/>
    </row>
    <row r="553">
      <c r="A553" s="397"/>
      <c r="B553" s="305"/>
      <c r="C553" s="305"/>
      <c r="D553" s="305"/>
      <c r="E553" s="305"/>
      <c r="F553" s="398"/>
      <c r="G553" s="398"/>
      <c r="H553" s="398"/>
      <c r="I553" s="398"/>
      <c r="K553" s="67"/>
      <c r="L553" s="67"/>
      <c r="M553" s="67"/>
      <c r="N553" s="67"/>
    </row>
    <row r="554">
      <c r="A554" s="397"/>
      <c r="B554" s="305"/>
      <c r="C554" s="305"/>
      <c r="D554" s="305"/>
      <c r="E554" s="305"/>
      <c r="F554" s="398"/>
      <c r="G554" s="398"/>
      <c r="H554" s="398"/>
      <c r="I554" s="398"/>
      <c r="K554" s="67"/>
      <c r="L554" s="67"/>
      <c r="M554" s="67"/>
      <c r="N554" s="67"/>
    </row>
    <row r="555">
      <c r="A555" s="397"/>
      <c r="B555" s="305"/>
      <c r="C555" s="305"/>
      <c r="D555" s="305"/>
      <c r="E555" s="305"/>
      <c r="F555" s="398"/>
      <c r="G555" s="398"/>
      <c r="H555" s="398"/>
      <c r="I555" s="398"/>
      <c r="K555" s="67"/>
      <c r="L555" s="67"/>
      <c r="M555" s="67"/>
      <c r="N555" s="67"/>
    </row>
    <row r="556">
      <c r="A556" s="397"/>
      <c r="B556" s="305"/>
      <c r="C556" s="305"/>
      <c r="D556" s="305"/>
      <c r="E556" s="305"/>
      <c r="F556" s="398"/>
      <c r="G556" s="398"/>
      <c r="H556" s="398"/>
      <c r="I556" s="398"/>
      <c r="K556" s="67"/>
      <c r="L556" s="67"/>
      <c r="M556" s="67"/>
      <c r="N556" s="67"/>
    </row>
    <row r="557">
      <c r="A557" s="397"/>
      <c r="B557" s="305"/>
      <c r="C557" s="305"/>
      <c r="D557" s="305"/>
      <c r="E557" s="305"/>
      <c r="F557" s="398"/>
      <c r="G557" s="398"/>
      <c r="H557" s="398"/>
      <c r="I557" s="398"/>
      <c r="K557" s="67"/>
      <c r="L557" s="67"/>
      <c r="M557" s="67"/>
      <c r="N557" s="67"/>
    </row>
    <row r="558">
      <c r="A558" s="397"/>
      <c r="B558" s="305"/>
      <c r="C558" s="305"/>
      <c r="D558" s="305"/>
      <c r="E558" s="305"/>
      <c r="F558" s="398"/>
      <c r="G558" s="398"/>
      <c r="H558" s="398"/>
      <c r="I558" s="398"/>
      <c r="K558" s="67"/>
      <c r="L558" s="67"/>
      <c r="M558" s="67"/>
      <c r="N558" s="67"/>
    </row>
    <row r="559">
      <c r="A559" s="397"/>
      <c r="B559" s="305"/>
      <c r="C559" s="305"/>
      <c r="D559" s="305"/>
      <c r="E559" s="305"/>
      <c r="F559" s="398"/>
      <c r="G559" s="398"/>
      <c r="H559" s="398"/>
      <c r="I559" s="398"/>
      <c r="K559" s="67"/>
      <c r="L559" s="67"/>
      <c r="M559" s="67"/>
      <c r="N559" s="67"/>
    </row>
    <row r="560">
      <c r="A560" s="397"/>
      <c r="B560" s="305"/>
      <c r="C560" s="305"/>
      <c r="D560" s="305"/>
      <c r="E560" s="305"/>
      <c r="F560" s="398"/>
      <c r="G560" s="398"/>
      <c r="H560" s="398"/>
      <c r="I560" s="398"/>
      <c r="K560" s="67"/>
      <c r="L560" s="67"/>
      <c r="M560" s="67"/>
      <c r="N560" s="67"/>
    </row>
    <row r="561">
      <c r="A561" s="397"/>
      <c r="B561" s="305"/>
      <c r="C561" s="305"/>
      <c r="D561" s="305"/>
      <c r="E561" s="305"/>
      <c r="F561" s="398"/>
      <c r="G561" s="398"/>
      <c r="H561" s="398"/>
      <c r="I561" s="398"/>
      <c r="K561" s="67"/>
      <c r="L561" s="67"/>
      <c r="M561" s="67"/>
      <c r="N561" s="67"/>
    </row>
    <row r="562">
      <c r="A562" s="397"/>
      <c r="B562" s="305"/>
      <c r="C562" s="305"/>
      <c r="D562" s="305"/>
      <c r="E562" s="305"/>
      <c r="F562" s="398"/>
      <c r="G562" s="398"/>
      <c r="H562" s="398"/>
      <c r="I562" s="398"/>
      <c r="K562" s="67"/>
      <c r="L562" s="67"/>
      <c r="M562" s="67"/>
      <c r="N562" s="67"/>
    </row>
    <row r="563">
      <c r="A563" s="397"/>
      <c r="B563" s="305"/>
      <c r="C563" s="305"/>
      <c r="D563" s="305"/>
      <c r="E563" s="305"/>
      <c r="F563" s="398"/>
      <c r="G563" s="398"/>
      <c r="H563" s="398"/>
      <c r="I563" s="398"/>
      <c r="K563" s="67"/>
      <c r="L563" s="67"/>
      <c r="M563" s="67"/>
      <c r="N563" s="67"/>
    </row>
    <row r="564">
      <c r="A564" s="397"/>
      <c r="B564" s="305"/>
      <c r="C564" s="305"/>
      <c r="D564" s="305"/>
      <c r="E564" s="305"/>
      <c r="F564" s="398"/>
      <c r="G564" s="398"/>
      <c r="H564" s="398"/>
      <c r="I564" s="398"/>
      <c r="K564" s="67"/>
      <c r="L564" s="67"/>
      <c r="M564" s="67"/>
      <c r="N564" s="67"/>
    </row>
    <row r="565">
      <c r="A565" s="397"/>
      <c r="B565" s="305"/>
      <c r="C565" s="305"/>
      <c r="D565" s="305"/>
      <c r="E565" s="305"/>
      <c r="F565" s="398"/>
      <c r="G565" s="398"/>
      <c r="H565" s="398"/>
      <c r="I565" s="398"/>
      <c r="K565" s="67"/>
      <c r="L565" s="67"/>
      <c r="M565" s="67"/>
      <c r="N565" s="67"/>
    </row>
    <row r="566">
      <c r="A566" s="397"/>
      <c r="B566" s="305"/>
      <c r="C566" s="305"/>
      <c r="D566" s="305"/>
      <c r="E566" s="305"/>
      <c r="F566" s="398"/>
      <c r="G566" s="398"/>
      <c r="H566" s="398"/>
      <c r="I566" s="398"/>
      <c r="K566" s="67"/>
      <c r="L566" s="67"/>
      <c r="M566" s="67"/>
      <c r="N566" s="67"/>
    </row>
    <row r="567">
      <c r="A567" s="397"/>
      <c r="B567" s="305"/>
      <c r="C567" s="305"/>
      <c r="D567" s="305"/>
      <c r="E567" s="305"/>
      <c r="F567" s="398"/>
      <c r="G567" s="398"/>
      <c r="H567" s="398"/>
      <c r="I567" s="398"/>
      <c r="K567" s="67"/>
      <c r="L567" s="67"/>
      <c r="M567" s="67"/>
      <c r="N567" s="67"/>
    </row>
    <row r="568">
      <c r="A568" s="397"/>
      <c r="B568" s="305"/>
      <c r="C568" s="305"/>
      <c r="D568" s="305"/>
      <c r="E568" s="305"/>
      <c r="F568" s="398"/>
      <c r="G568" s="398"/>
      <c r="H568" s="398"/>
      <c r="I568" s="398"/>
      <c r="K568" s="67"/>
      <c r="L568" s="67"/>
      <c r="M568" s="67"/>
      <c r="N568" s="67"/>
    </row>
    <row r="569">
      <c r="A569" s="397"/>
      <c r="B569" s="305"/>
      <c r="C569" s="305"/>
      <c r="D569" s="305"/>
      <c r="E569" s="305"/>
      <c r="F569" s="398"/>
      <c r="G569" s="398"/>
      <c r="H569" s="398"/>
      <c r="I569" s="398"/>
      <c r="K569" s="67"/>
      <c r="L569" s="67"/>
      <c r="M569" s="67"/>
      <c r="N569" s="67"/>
    </row>
    <row r="570">
      <c r="A570" s="397"/>
      <c r="B570" s="305"/>
      <c r="C570" s="305"/>
      <c r="D570" s="305"/>
      <c r="E570" s="305"/>
      <c r="F570" s="398"/>
      <c r="G570" s="398"/>
      <c r="H570" s="398"/>
      <c r="I570" s="398"/>
      <c r="K570" s="67"/>
      <c r="L570" s="67"/>
      <c r="M570" s="67"/>
      <c r="N570" s="67"/>
    </row>
    <row r="571">
      <c r="A571" s="397"/>
      <c r="B571" s="305"/>
      <c r="C571" s="305"/>
      <c r="D571" s="305"/>
      <c r="E571" s="305"/>
      <c r="F571" s="398"/>
      <c r="G571" s="398"/>
      <c r="H571" s="398"/>
      <c r="I571" s="398"/>
      <c r="K571" s="67"/>
      <c r="L571" s="67"/>
      <c r="M571" s="67"/>
      <c r="N571" s="67"/>
    </row>
    <row r="572">
      <c r="A572" s="397"/>
      <c r="B572" s="305"/>
      <c r="C572" s="305"/>
      <c r="D572" s="305"/>
      <c r="E572" s="305"/>
      <c r="F572" s="398"/>
      <c r="G572" s="398"/>
      <c r="H572" s="398"/>
      <c r="I572" s="398"/>
      <c r="K572" s="67"/>
      <c r="L572" s="67"/>
      <c r="M572" s="67"/>
      <c r="N572" s="67"/>
    </row>
    <row r="573">
      <c r="A573" s="397"/>
      <c r="B573" s="305"/>
      <c r="C573" s="305"/>
      <c r="D573" s="305"/>
      <c r="E573" s="305"/>
      <c r="F573" s="398"/>
      <c r="G573" s="398"/>
      <c r="H573" s="398"/>
      <c r="I573" s="398"/>
      <c r="K573" s="67"/>
      <c r="L573" s="67"/>
      <c r="M573" s="67"/>
      <c r="N573" s="67"/>
    </row>
    <row r="574">
      <c r="A574" s="397"/>
      <c r="B574" s="305"/>
      <c r="C574" s="305"/>
      <c r="D574" s="305"/>
      <c r="E574" s="305"/>
      <c r="F574" s="398"/>
      <c r="G574" s="398"/>
      <c r="H574" s="398"/>
      <c r="I574" s="398"/>
      <c r="K574" s="67"/>
      <c r="L574" s="67"/>
      <c r="M574" s="67"/>
      <c r="N574" s="67"/>
    </row>
    <row r="575">
      <c r="A575" s="397"/>
      <c r="B575" s="305"/>
      <c r="C575" s="305"/>
      <c r="D575" s="305"/>
      <c r="E575" s="305"/>
      <c r="F575" s="398"/>
      <c r="G575" s="398"/>
      <c r="H575" s="398"/>
      <c r="I575" s="398"/>
      <c r="K575" s="67"/>
      <c r="L575" s="67"/>
      <c r="M575" s="67"/>
      <c r="N575" s="67"/>
    </row>
    <row r="576">
      <c r="A576" s="397"/>
      <c r="B576" s="305"/>
      <c r="C576" s="305"/>
      <c r="D576" s="305"/>
      <c r="E576" s="305"/>
      <c r="F576" s="398"/>
      <c r="G576" s="398"/>
      <c r="H576" s="398"/>
      <c r="I576" s="398"/>
      <c r="K576" s="67"/>
      <c r="L576" s="67"/>
      <c r="M576" s="67"/>
      <c r="N576" s="67"/>
    </row>
    <row r="577">
      <c r="A577" s="397"/>
      <c r="B577" s="305"/>
      <c r="C577" s="305"/>
      <c r="D577" s="305"/>
      <c r="E577" s="305"/>
      <c r="F577" s="398"/>
      <c r="G577" s="398"/>
      <c r="H577" s="398"/>
      <c r="I577" s="398"/>
      <c r="K577" s="67"/>
      <c r="L577" s="67"/>
      <c r="M577" s="67"/>
      <c r="N577" s="67"/>
    </row>
    <row r="578">
      <c r="A578" s="397"/>
      <c r="B578" s="305"/>
      <c r="C578" s="305"/>
      <c r="D578" s="305"/>
      <c r="E578" s="305"/>
      <c r="F578" s="398"/>
      <c r="G578" s="398"/>
      <c r="H578" s="398"/>
      <c r="I578" s="398"/>
      <c r="K578" s="67"/>
      <c r="L578" s="67"/>
      <c r="M578" s="67"/>
      <c r="N578" s="67"/>
    </row>
    <row r="579">
      <c r="A579" s="397"/>
      <c r="B579" s="305"/>
      <c r="C579" s="305"/>
      <c r="D579" s="305"/>
      <c r="E579" s="305"/>
      <c r="F579" s="398"/>
      <c r="G579" s="398"/>
      <c r="H579" s="398"/>
      <c r="I579" s="398"/>
      <c r="K579" s="67"/>
      <c r="L579" s="67"/>
      <c r="M579" s="67"/>
      <c r="N579" s="67"/>
    </row>
    <row r="580">
      <c r="A580" s="397"/>
      <c r="B580" s="305"/>
      <c r="C580" s="305"/>
      <c r="D580" s="305"/>
      <c r="E580" s="305"/>
      <c r="F580" s="398"/>
      <c r="G580" s="398"/>
      <c r="H580" s="398"/>
      <c r="I580" s="398"/>
      <c r="K580" s="67"/>
      <c r="L580" s="67"/>
      <c r="M580" s="67"/>
      <c r="N580" s="67"/>
    </row>
    <row r="581">
      <c r="A581" s="397"/>
      <c r="B581" s="305"/>
      <c r="C581" s="305"/>
      <c r="D581" s="305"/>
      <c r="E581" s="305"/>
      <c r="F581" s="398"/>
      <c r="G581" s="398"/>
      <c r="H581" s="398"/>
      <c r="I581" s="398"/>
      <c r="K581" s="67"/>
      <c r="L581" s="67"/>
      <c r="M581" s="67"/>
      <c r="N581" s="67"/>
    </row>
    <row r="582">
      <c r="A582" s="397"/>
      <c r="B582" s="305"/>
      <c r="C582" s="305"/>
      <c r="D582" s="305"/>
      <c r="E582" s="305"/>
      <c r="F582" s="398"/>
      <c r="G582" s="398"/>
      <c r="H582" s="398"/>
      <c r="I582" s="398"/>
      <c r="K582" s="67"/>
      <c r="L582" s="67"/>
      <c r="M582" s="67"/>
      <c r="N582" s="67"/>
    </row>
    <row r="583">
      <c r="A583" s="397"/>
      <c r="B583" s="305"/>
      <c r="C583" s="305"/>
      <c r="D583" s="305"/>
      <c r="E583" s="305"/>
      <c r="F583" s="398"/>
      <c r="G583" s="398"/>
      <c r="H583" s="398"/>
      <c r="I583" s="398"/>
      <c r="K583" s="67"/>
      <c r="L583" s="67"/>
      <c r="M583" s="67"/>
      <c r="N583" s="67"/>
    </row>
    <row r="584">
      <c r="A584" s="397"/>
      <c r="B584" s="305"/>
      <c r="C584" s="305"/>
      <c r="D584" s="305"/>
      <c r="E584" s="305"/>
      <c r="F584" s="398"/>
      <c r="G584" s="398"/>
      <c r="H584" s="398"/>
      <c r="I584" s="398"/>
      <c r="K584" s="67"/>
      <c r="L584" s="67"/>
      <c r="M584" s="67"/>
      <c r="N584" s="67"/>
    </row>
    <row r="585">
      <c r="A585" s="397"/>
      <c r="B585" s="305"/>
      <c r="C585" s="305"/>
      <c r="D585" s="305"/>
      <c r="E585" s="305"/>
      <c r="F585" s="398"/>
      <c r="G585" s="398"/>
      <c r="H585" s="398"/>
      <c r="I585" s="398"/>
      <c r="K585" s="67"/>
      <c r="L585" s="67"/>
      <c r="M585" s="67"/>
      <c r="N585" s="67"/>
    </row>
    <row r="586">
      <c r="A586" s="397"/>
      <c r="B586" s="305"/>
      <c r="C586" s="305"/>
      <c r="D586" s="305"/>
      <c r="E586" s="305"/>
      <c r="F586" s="398"/>
      <c r="G586" s="398"/>
      <c r="H586" s="398"/>
      <c r="I586" s="398"/>
      <c r="K586" s="67"/>
      <c r="L586" s="67"/>
      <c r="M586" s="67"/>
      <c r="N586" s="67"/>
    </row>
    <row r="587">
      <c r="A587" s="397"/>
      <c r="B587" s="305"/>
      <c r="C587" s="305"/>
      <c r="D587" s="305"/>
      <c r="E587" s="305"/>
      <c r="F587" s="398"/>
      <c r="G587" s="398"/>
      <c r="H587" s="398"/>
      <c r="I587" s="398"/>
      <c r="K587" s="67"/>
      <c r="L587" s="67"/>
      <c r="M587" s="67"/>
      <c r="N587" s="67"/>
    </row>
    <row r="588">
      <c r="A588" s="397"/>
      <c r="B588" s="305"/>
      <c r="C588" s="305"/>
      <c r="D588" s="305"/>
      <c r="E588" s="305"/>
      <c r="F588" s="398"/>
      <c r="G588" s="398"/>
      <c r="H588" s="398"/>
      <c r="I588" s="398"/>
      <c r="K588" s="67"/>
      <c r="L588" s="67"/>
      <c r="M588" s="67"/>
      <c r="N588" s="67"/>
    </row>
    <row r="589">
      <c r="A589" s="397"/>
      <c r="B589" s="305"/>
      <c r="C589" s="305"/>
      <c r="D589" s="305"/>
      <c r="E589" s="305"/>
      <c r="F589" s="398"/>
      <c r="G589" s="398"/>
      <c r="H589" s="398"/>
      <c r="I589" s="398"/>
      <c r="K589" s="67"/>
      <c r="L589" s="67"/>
      <c r="M589" s="67"/>
      <c r="N589" s="67"/>
    </row>
    <row r="590">
      <c r="A590" s="397"/>
      <c r="B590" s="305"/>
      <c r="C590" s="305"/>
      <c r="D590" s="305"/>
      <c r="E590" s="305"/>
      <c r="F590" s="398"/>
      <c r="G590" s="398"/>
      <c r="H590" s="398"/>
      <c r="I590" s="398"/>
      <c r="K590" s="67"/>
      <c r="L590" s="67"/>
      <c r="M590" s="67"/>
      <c r="N590" s="67"/>
    </row>
    <row r="591">
      <c r="A591" s="397"/>
      <c r="B591" s="305"/>
      <c r="C591" s="305"/>
      <c r="D591" s="305"/>
      <c r="E591" s="305"/>
      <c r="F591" s="398"/>
      <c r="G591" s="398"/>
      <c r="H591" s="398"/>
      <c r="I591" s="398"/>
      <c r="K591" s="67"/>
      <c r="L591" s="67"/>
      <c r="M591" s="67"/>
      <c r="N591" s="67"/>
    </row>
    <row r="592">
      <c r="A592" s="397"/>
      <c r="B592" s="305"/>
      <c r="C592" s="305"/>
      <c r="D592" s="305"/>
      <c r="E592" s="305"/>
      <c r="F592" s="398"/>
      <c r="G592" s="398"/>
      <c r="H592" s="398"/>
      <c r="I592" s="398"/>
      <c r="K592" s="67"/>
      <c r="L592" s="67"/>
      <c r="M592" s="67"/>
      <c r="N592" s="67"/>
    </row>
    <row r="593">
      <c r="A593" s="397"/>
      <c r="B593" s="305"/>
      <c r="C593" s="305"/>
      <c r="D593" s="305"/>
      <c r="E593" s="305"/>
      <c r="F593" s="398"/>
      <c r="G593" s="398"/>
      <c r="H593" s="398"/>
      <c r="I593" s="398"/>
      <c r="K593" s="67"/>
      <c r="L593" s="67"/>
      <c r="M593" s="67"/>
      <c r="N593" s="67"/>
    </row>
    <row r="594">
      <c r="A594" s="397"/>
      <c r="B594" s="305"/>
      <c r="C594" s="305"/>
      <c r="D594" s="305"/>
      <c r="E594" s="305"/>
      <c r="F594" s="398"/>
      <c r="G594" s="398"/>
      <c r="H594" s="398"/>
      <c r="I594" s="398"/>
      <c r="K594" s="67"/>
      <c r="L594" s="67"/>
      <c r="M594" s="67"/>
      <c r="N594" s="67"/>
    </row>
    <row r="595">
      <c r="A595" s="397"/>
      <c r="B595" s="305"/>
      <c r="C595" s="305"/>
      <c r="D595" s="305"/>
      <c r="E595" s="305"/>
      <c r="F595" s="398"/>
      <c r="G595" s="398"/>
      <c r="H595" s="398"/>
      <c r="I595" s="398"/>
      <c r="K595" s="67"/>
      <c r="L595" s="67"/>
      <c r="M595" s="67"/>
      <c r="N595" s="67"/>
    </row>
    <row r="596">
      <c r="A596" s="397"/>
      <c r="B596" s="305"/>
      <c r="C596" s="305"/>
      <c r="D596" s="305"/>
      <c r="E596" s="305"/>
      <c r="F596" s="398"/>
      <c r="G596" s="398"/>
      <c r="H596" s="398"/>
      <c r="I596" s="398"/>
      <c r="K596" s="67"/>
      <c r="L596" s="67"/>
      <c r="M596" s="67"/>
      <c r="N596" s="67"/>
    </row>
    <row r="597">
      <c r="A597" s="397"/>
      <c r="B597" s="305"/>
      <c r="C597" s="305"/>
      <c r="D597" s="305"/>
      <c r="E597" s="305"/>
      <c r="F597" s="398"/>
      <c r="G597" s="398"/>
      <c r="H597" s="398"/>
      <c r="I597" s="398"/>
      <c r="K597" s="67"/>
      <c r="L597" s="67"/>
      <c r="M597" s="67"/>
      <c r="N597" s="67"/>
    </row>
    <row r="598">
      <c r="A598" s="397"/>
      <c r="B598" s="305"/>
      <c r="C598" s="305"/>
      <c r="D598" s="305"/>
      <c r="E598" s="305"/>
      <c r="F598" s="398"/>
      <c r="G598" s="398"/>
      <c r="H598" s="398"/>
      <c r="I598" s="398"/>
      <c r="K598" s="67"/>
      <c r="L598" s="67"/>
      <c r="M598" s="67"/>
      <c r="N598" s="67"/>
    </row>
    <row r="599">
      <c r="A599" s="397"/>
      <c r="B599" s="305"/>
      <c r="C599" s="305"/>
      <c r="D599" s="305"/>
      <c r="E599" s="305"/>
      <c r="F599" s="398"/>
      <c r="G599" s="398"/>
      <c r="H599" s="398"/>
      <c r="I599" s="398"/>
      <c r="K599" s="67"/>
      <c r="L599" s="67"/>
      <c r="M599" s="67"/>
      <c r="N599" s="67"/>
    </row>
    <row r="600">
      <c r="A600" s="397"/>
      <c r="B600" s="305"/>
      <c r="C600" s="305"/>
      <c r="D600" s="305"/>
      <c r="E600" s="305"/>
      <c r="F600" s="398"/>
      <c r="G600" s="398"/>
      <c r="H600" s="398"/>
      <c r="I600" s="398"/>
      <c r="K600" s="67"/>
      <c r="L600" s="67"/>
      <c r="M600" s="67"/>
      <c r="N600" s="67"/>
    </row>
    <row r="601">
      <c r="A601" s="397"/>
      <c r="B601" s="305"/>
      <c r="C601" s="305"/>
      <c r="D601" s="305"/>
      <c r="E601" s="305"/>
      <c r="F601" s="398"/>
      <c r="G601" s="398"/>
      <c r="H601" s="398"/>
      <c r="I601" s="398"/>
      <c r="K601" s="67"/>
      <c r="L601" s="67"/>
      <c r="M601" s="67"/>
      <c r="N601" s="67"/>
    </row>
    <row r="602">
      <c r="A602" s="397"/>
      <c r="B602" s="305"/>
      <c r="C602" s="305"/>
      <c r="D602" s="305"/>
      <c r="E602" s="305"/>
      <c r="F602" s="398"/>
      <c r="G602" s="398"/>
      <c r="H602" s="398"/>
      <c r="I602" s="398"/>
      <c r="K602" s="67"/>
      <c r="L602" s="67"/>
      <c r="M602" s="67"/>
      <c r="N602" s="67"/>
    </row>
    <row r="603">
      <c r="A603" s="397"/>
      <c r="B603" s="305"/>
      <c r="C603" s="305"/>
      <c r="D603" s="305"/>
      <c r="E603" s="305"/>
      <c r="F603" s="398"/>
      <c r="G603" s="398"/>
      <c r="H603" s="398"/>
      <c r="I603" s="398"/>
      <c r="K603" s="67"/>
      <c r="L603" s="67"/>
      <c r="M603" s="67"/>
      <c r="N603" s="67"/>
    </row>
    <row r="604">
      <c r="A604" s="397"/>
      <c r="B604" s="305"/>
      <c r="C604" s="305"/>
      <c r="D604" s="305"/>
      <c r="E604" s="305"/>
      <c r="F604" s="398"/>
      <c r="G604" s="398"/>
      <c r="H604" s="398"/>
      <c r="I604" s="398"/>
      <c r="K604" s="67"/>
      <c r="L604" s="67"/>
      <c r="M604" s="67"/>
      <c r="N604" s="67"/>
    </row>
    <row r="605">
      <c r="A605" s="397"/>
      <c r="B605" s="305"/>
      <c r="C605" s="305"/>
      <c r="D605" s="305"/>
      <c r="E605" s="305"/>
      <c r="F605" s="398"/>
      <c r="G605" s="398"/>
      <c r="H605" s="398"/>
      <c r="I605" s="398"/>
      <c r="K605" s="67"/>
      <c r="L605" s="67"/>
      <c r="M605" s="67"/>
      <c r="N605" s="67"/>
    </row>
    <row r="606">
      <c r="A606" s="397"/>
      <c r="B606" s="305"/>
      <c r="C606" s="305"/>
      <c r="D606" s="305"/>
      <c r="E606" s="305"/>
      <c r="F606" s="398"/>
      <c r="G606" s="398"/>
      <c r="H606" s="398"/>
      <c r="I606" s="398"/>
      <c r="K606" s="67"/>
      <c r="L606" s="67"/>
      <c r="M606" s="67"/>
      <c r="N606" s="67"/>
    </row>
    <row r="607">
      <c r="A607" s="397"/>
      <c r="B607" s="305"/>
      <c r="C607" s="305"/>
      <c r="D607" s="305"/>
      <c r="E607" s="305"/>
      <c r="F607" s="398"/>
      <c r="G607" s="398"/>
      <c r="H607" s="398"/>
      <c r="I607" s="398"/>
      <c r="K607" s="67"/>
      <c r="L607" s="67"/>
      <c r="M607" s="67"/>
      <c r="N607" s="67"/>
    </row>
    <row r="608">
      <c r="A608" s="397"/>
      <c r="B608" s="305"/>
      <c r="C608" s="305"/>
      <c r="D608" s="305"/>
      <c r="E608" s="305"/>
      <c r="F608" s="398"/>
      <c r="G608" s="398"/>
      <c r="H608" s="398"/>
      <c r="I608" s="398"/>
      <c r="K608" s="67"/>
      <c r="L608" s="67"/>
      <c r="M608" s="67"/>
      <c r="N608" s="67"/>
    </row>
    <row r="609">
      <c r="A609" s="397"/>
      <c r="B609" s="305"/>
      <c r="C609" s="305"/>
      <c r="D609" s="305"/>
      <c r="E609" s="305"/>
      <c r="F609" s="398"/>
      <c r="G609" s="398"/>
      <c r="H609" s="398"/>
      <c r="I609" s="398"/>
      <c r="K609" s="67"/>
      <c r="L609" s="67"/>
      <c r="M609" s="67"/>
      <c r="N609" s="67"/>
    </row>
    <row r="610">
      <c r="A610" s="397"/>
      <c r="B610" s="305"/>
      <c r="C610" s="305"/>
      <c r="D610" s="305"/>
      <c r="E610" s="305"/>
      <c r="F610" s="398"/>
      <c r="G610" s="398"/>
      <c r="H610" s="398"/>
      <c r="I610" s="398"/>
      <c r="K610" s="67"/>
      <c r="L610" s="67"/>
      <c r="M610" s="67"/>
      <c r="N610" s="67"/>
    </row>
    <row r="611">
      <c r="A611" s="397"/>
      <c r="B611" s="305"/>
      <c r="C611" s="305"/>
      <c r="D611" s="305"/>
      <c r="E611" s="305"/>
      <c r="F611" s="398"/>
      <c r="G611" s="398"/>
      <c r="H611" s="398"/>
      <c r="I611" s="398"/>
      <c r="K611" s="67"/>
      <c r="L611" s="67"/>
      <c r="M611" s="67"/>
      <c r="N611" s="67"/>
    </row>
    <row r="612">
      <c r="A612" s="397"/>
      <c r="B612" s="305"/>
      <c r="C612" s="305"/>
      <c r="D612" s="305"/>
      <c r="E612" s="305"/>
      <c r="F612" s="398"/>
      <c r="G612" s="398"/>
      <c r="H612" s="398"/>
      <c r="I612" s="398"/>
      <c r="K612" s="67"/>
      <c r="L612" s="67"/>
      <c r="M612" s="67"/>
      <c r="N612" s="67"/>
    </row>
    <row r="613">
      <c r="A613" s="397"/>
      <c r="B613" s="305"/>
      <c r="C613" s="305"/>
      <c r="D613" s="305"/>
      <c r="E613" s="305"/>
      <c r="F613" s="398"/>
      <c r="G613" s="398"/>
      <c r="H613" s="398"/>
      <c r="I613" s="398"/>
      <c r="K613" s="67"/>
      <c r="L613" s="67"/>
      <c r="M613" s="67"/>
      <c r="N613" s="67"/>
    </row>
    <row r="614">
      <c r="A614" s="397"/>
      <c r="B614" s="305"/>
      <c r="C614" s="305"/>
      <c r="D614" s="305"/>
      <c r="E614" s="305"/>
      <c r="F614" s="398"/>
      <c r="G614" s="398"/>
      <c r="H614" s="398"/>
      <c r="I614" s="398"/>
      <c r="K614" s="67"/>
      <c r="L614" s="67"/>
      <c r="M614" s="67"/>
      <c r="N614" s="67"/>
    </row>
    <row r="615">
      <c r="A615" s="397"/>
      <c r="B615" s="305"/>
      <c r="C615" s="305"/>
      <c r="D615" s="305"/>
      <c r="E615" s="305"/>
      <c r="F615" s="398"/>
      <c r="G615" s="398"/>
      <c r="H615" s="398"/>
      <c r="I615" s="398"/>
      <c r="K615" s="67"/>
      <c r="L615" s="67"/>
      <c r="M615" s="67"/>
      <c r="N615" s="67"/>
    </row>
    <row r="616">
      <c r="A616" s="397"/>
      <c r="B616" s="305"/>
      <c r="C616" s="305"/>
      <c r="D616" s="305"/>
      <c r="E616" s="305"/>
      <c r="F616" s="398"/>
      <c r="G616" s="398"/>
      <c r="H616" s="398"/>
      <c r="I616" s="398"/>
      <c r="K616" s="67"/>
      <c r="L616" s="67"/>
      <c r="M616" s="67"/>
      <c r="N616" s="67"/>
    </row>
    <row r="617">
      <c r="A617" s="397"/>
      <c r="B617" s="305"/>
      <c r="C617" s="305"/>
      <c r="D617" s="305"/>
      <c r="E617" s="305"/>
      <c r="F617" s="398"/>
      <c r="G617" s="398"/>
      <c r="H617" s="398"/>
      <c r="I617" s="398"/>
      <c r="K617" s="67"/>
      <c r="L617" s="67"/>
      <c r="M617" s="67"/>
      <c r="N617" s="67"/>
    </row>
    <row r="618">
      <c r="A618" s="397"/>
      <c r="B618" s="305"/>
      <c r="C618" s="305"/>
      <c r="D618" s="305"/>
      <c r="E618" s="305"/>
      <c r="F618" s="398"/>
      <c r="G618" s="398"/>
      <c r="H618" s="398"/>
      <c r="I618" s="398"/>
      <c r="K618" s="67"/>
      <c r="L618" s="67"/>
      <c r="M618" s="67"/>
      <c r="N618" s="67"/>
    </row>
    <row r="619">
      <c r="A619" s="397"/>
      <c r="B619" s="305"/>
      <c r="C619" s="305"/>
      <c r="D619" s="305"/>
      <c r="E619" s="305"/>
      <c r="F619" s="398"/>
      <c r="G619" s="398"/>
      <c r="H619" s="398"/>
      <c r="I619" s="398"/>
      <c r="K619" s="67"/>
      <c r="L619" s="67"/>
      <c r="M619" s="67"/>
      <c r="N619" s="67"/>
    </row>
    <row r="620">
      <c r="A620" s="397"/>
      <c r="B620" s="305"/>
      <c r="C620" s="305"/>
      <c r="D620" s="305"/>
      <c r="E620" s="305"/>
      <c r="F620" s="398"/>
      <c r="G620" s="398"/>
      <c r="H620" s="398"/>
      <c r="I620" s="398"/>
      <c r="K620" s="67"/>
      <c r="L620" s="67"/>
      <c r="M620" s="67"/>
      <c r="N620" s="67"/>
    </row>
    <row r="621">
      <c r="A621" s="397"/>
      <c r="B621" s="305"/>
      <c r="C621" s="305"/>
      <c r="D621" s="305"/>
      <c r="E621" s="305"/>
      <c r="F621" s="398"/>
      <c r="G621" s="398"/>
      <c r="H621" s="398"/>
      <c r="I621" s="398"/>
      <c r="K621" s="67"/>
      <c r="L621" s="67"/>
      <c r="M621" s="67"/>
      <c r="N621" s="67"/>
    </row>
    <row r="622">
      <c r="A622" s="397"/>
      <c r="B622" s="305"/>
      <c r="C622" s="305"/>
      <c r="D622" s="305"/>
      <c r="E622" s="305"/>
      <c r="F622" s="398"/>
      <c r="G622" s="398"/>
      <c r="H622" s="398"/>
      <c r="I622" s="398"/>
      <c r="K622" s="67"/>
      <c r="L622" s="67"/>
      <c r="M622" s="67"/>
      <c r="N622" s="67"/>
    </row>
    <row r="623">
      <c r="A623" s="397"/>
      <c r="B623" s="305"/>
      <c r="C623" s="305"/>
      <c r="D623" s="305"/>
      <c r="E623" s="305"/>
      <c r="F623" s="398"/>
      <c r="G623" s="398"/>
      <c r="H623" s="398"/>
      <c r="I623" s="398"/>
      <c r="K623" s="67"/>
      <c r="L623" s="67"/>
      <c r="M623" s="67"/>
      <c r="N623" s="67"/>
    </row>
    <row r="624">
      <c r="A624" s="397"/>
      <c r="B624" s="305"/>
      <c r="C624" s="305"/>
      <c r="D624" s="305"/>
      <c r="E624" s="305"/>
      <c r="F624" s="398"/>
      <c r="G624" s="398"/>
      <c r="H624" s="398"/>
      <c r="I624" s="398"/>
      <c r="K624" s="67"/>
      <c r="L624" s="67"/>
      <c r="M624" s="67"/>
      <c r="N624" s="67"/>
    </row>
    <row r="625">
      <c r="A625" s="397"/>
      <c r="B625" s="305"/>
      <c r="C625" s="305"/>
      <c r="D625" s="305"/>
      <c r="E625" s="305"/>
      <c r="F625" s="398"/>
      <c r="G625" s="398"/>
      <c r="H625" s="398"/>
      <c r="I625" s="398"/>
      <c r="K625" s="67"/>
      <c r="L625" s="67"/>
      <c r="M625" s="67"/>
      <c r="N625" s="67"/>
    </row>
    <row r="626">
      <c r="A626" s="397"/>
      <c r="B626" s="305"/>
      <c r="C626" s="305"/>
      <c r="D626" s="305"/>
      <c r="E626" s="305"/>
      <c r="F626" s="398"/>
      <c r="G626" s="398"/>
      <c r="H626" s="398"/>
      <c r="I626" s="398"/>
      <c r="K626" s="67"/>
      <c r="L626" s="67"/>
      <c r="M626" s="67"/>
      <c r="N626" s="67"/>
    </row>
    <row r="627">
      <c r="A627" s="397"/>
      <c r="B627" s="305"/>
      <c r="C627" s="305"/>
      <c r="D627" s="305"/>
      <c r="E627" s="305"/>
      <c r="F627" s="398"/>
      <c r="G627" s="398"/>
      <c r="H627" s="398"/>
      <c r="I627" s="398"/>
      <c r="K627" s="67"/>
      <c r="L627" s="67"/>
      <c r="M627" s="67"/>
      <c r="N627" s="67"/>
    </row>
    <row r="628">
      <c r="A628" s="397"/>
      <c r="B628" s="305"/>
      <c r="C628" s="305"/>
      <c r="D628" s="305"/>
      <c r="E628" s="305"/>
      <c r="F628" s="398"/>
      <c r="G628" s="398"/>
      <c r="H628" s="398"/>
      <c r="I628" s="398"/>
      <c r="K628" s="67"/>
      <c r="L628" s="67"/>
      <c r="M628" s="67"/>
      <c r="N628" s="67"/>
    </row>
    <row r="629">
      <c r="A629" s="397"/>
      <c r="B629" s="305"/>
      <c r="C629" s="305"/>
      <c r="D629" s="305"/>
      <c r="E629" s="305"/>
      <c r="F629" s="398"/>
      <c r="G629" s="398"/>
      <c r="H629" s="398"/>
      <c r="I629" s="398"/>
      <c r="K629" s="67"/>
      <c r="L629" s="67"/>
      <c r="M629" s="67"/>
      <c r="N629" s="67"/>
    </row>
    <row r="630">
      <c r="A630" s="397"/>
      <c r="B630" s="305"/>
      <c r="C630" s="305"/>
      <c r="D630" s="305"/>
      <c r="E630" s="305"/>
      <c r="F630" s="398"/>
      <c r="G630" s="398"/>
      <c r="H630" s="398"/>
      <c r="I630" s="398"/>
      <c r="K630" s="67"/>
      <c r="L630" s="67"/>
      <c r="M630" s="67"/>
      <c r="N630" s="67"/>
    </row>
    <row r="631">
      <c r="A631" s="397"/>
      <c r="B631" s="305"/>
      <c r="C631" s="305"/>
      <c r="D631" s="305"/>
      <c r="E631" s="305"/>
      <c r="F631" s="398"/>
      <c r="G631" s="398"/>
      <c r="H631" s="398"/>
      <c r="I631" s="398"/>
      <c r="K631" s="67"/>
      <c r="L631" s="67"/>
      <c r="M631" s="67"/>
      <c r="N631" s="67"/>
    </row>
    <row r="632">
      <c r="A632" s="397"/>
      <c r="B632" s="305"/>
      <c r="C632" s="305"/>
      <c r="D632" s="305"/>
      <c r="E632" s="305"/>
      <c r="F632" s="398"/>
      <c r="G632" s="398"/>
      <c r="H632" s="398"/>
      <c r="I632" s="398"/>
      <c r="K632" s="67"/>
      <c r="L632" s="67"/>
      <c r="M632" s="67"/>
      <c r="N632" s="67"/>
    </row>
    <row r="633">
      <c r="A633" s="397"/>
      <c r="B633" s="305"/>
      <c r="C633" s="305"/>
      <c r="D633" s="305"/>
      <c r="E633" s="305"/>
      <c r="F633" s="398"/>
      <c r="G633" s="398"/>
      <c r="H633" s="398"/>
      <c r="I633" s="398"/>
      <c r="K633" s="67"/>
      <c r="L633" s="67"/>
      <c r="M633" s="67"/>
      <c r="N633" s="67"/>
    </row>
    <row r="634">
      <c r="A634" s="397"/>
      <c r="B634" s="305"/>
      <c r="C634" s="305"/>
      <c r="D634" s="305"/>
      <c r="E634" s="305"/>
      <c r="F634" s="398"/>
      <c r="G634" s="398"/>
      <c r="H634" s="398"/>
      <c r="I634" s="398"/>
      <c r="K634" s="67"/>
      <c r="L634" s="67"/>
      <c r="M634" s="67"/>
      <c r="N634" s="67"/>
    </row>
    <row r="635">
      <c r="A635" s="397"/>
      <c r="B635" s="305"/>
      <c r="C635" s="305"/>
      <c r="D635" s="305"/>
      <c r="E635" s="305"/>
      <c r="F635" s="398"/>
      <c r="G635" s="398"/>
      <c r="H635" s="398"/>
      <c r="I635" s="398"/>
      <c r="K635" s="67"/>
      <c r="L635" s="67"/>
      <c r="M635" s="67"/>
      <c r="N635" s="67"/>
    </row>
    <row r="636">
      <c r="A636" s="397"/>
      <c r="B636" s="305"/>
      <c r="C636" s="305"/>
      <c r="D636" s="305"/>
      <c r="E636" s="305"/>
      <c r="F636" s="398"/>
      <c r="G636" s="398"/>
      <c r="H636" s="398"/>
      <c r="I636" s="398"/>
      <c r="K636" s="67"/>
      <c r="L636" s="67"/>
      <c r="M636" s="67"/>
      <c r="N636" s="67"/>
    </row>
    <row r="637">
      <c r="A637" s="397"/>
      <c r="B637" s="305"/>
      <c r="C637" s="305"/>
      <c r="D637" s="305"/>
      <c r="E637" s="305"/>
      <c r="F637" s="398"/>
      <c r="G637" s="398"/>
      <c r="H637" s="398"/>
      <c r="I637" s="398"/>
      <c r="K637" s="67"/>
      <c r="L637" s="67"/>
      <c r="M637" s="67"/>
      <c r="N637" s="67"/>
    </row>
    <row r="638">
      <c r="A638" s="397"/>
      <c r="B638" s="305"/>
      <c r="C638" s="305"/>
      <c r="D638" s="305"/>
      <c r="E638" s="305"/>
      <c r="F638" s="398"/>
      <c r="G638" s="398"/>
      <c r="H638" s="398"/>
      <c r="I638" s="398"/>
      <c r="K638" s="67"/>
      <c r="L638" s="67"/>
      <c r="M638" s="67"/>
      <c r="N638" s="67"/>
    </row>
    <row r="639">
      <c r="A639" s="397"/>
      <c r="B639" s="305"/>
      <c r="C639" s="305"/>
      <c r="D639" s="305"/>
      <c r="E639" s="305"/>
      <c r="F639" s="398"/>
      <c r="G639" s="398"/>
      <c r="H639" s="398"/>
      <c r="I639" s="398"/>
      <c r="K639" s="67"/>
      <c r="L639" s="67"/>
      <c r="M639" s="67"/>
      <c r="N639" s="67"/>
    </row>
    <row r="640">
      <c r="A640" s="397"/>
      <c r="B640" s="305"/>
      <c r="C640" s="305"/>
      <c r="D640" s="305"/>
      <c r="E640" s="305"/>
      <c r="F640" s="398"/>
      <c r="G640" s="398"/>
      <c r="H640" s="398"/>
      <c r="I640" s="398"/>
      <c r="K640" s="67"/>
      <c r="L640" s="67"/>
      <c r="M640" s="67"/>
      <c r="N640" s="67"/>
    </row>
    <row r="641">
      <c r="A641" s="397"/>
      <c r="B641" s="305"/>
      <c r="C641" s="305"/>
      <c r="D641" s="305"/>
      <c r="E641" s="305"/>
      <c r="F641" s="398"/>
      <c r="G641" s="398"/>
      <c r="H641" s="398"/>
      <c r="I641" s="398"/>
      <c r="K641" s="67"/>
      <c r="L641" s="67"/>
      <c r="M641" s="67"/>
      <c r="N641" s="67"/>
    </row>
    <row r="642">
      <c r="A642" s="397"/>
      <c r="B642" s="305"/>
      <c r="C642" s="305"/>
      <c r="D642" s="305"/>
      <c r="E642" s="305"/>
      <c r="F642" s="398"/>
      <c r="G642" s="398"/>
      <c r="H642" s="398"/>
      <c r="I642" s="398"/>
      <c r="K642" s="67"/>
      <c r="L642" s="67"/>
      <c r="M642" s="67"/>
      <c r="N642" s="67"/>
    </row>
    <row r="643">
      <c r="A643" s="397"/>
      <c r="B643" s="305"/>
      <c r="C643" s="305"/>
      <c r="D643" s="305"/>
      <c r="E643" s="305"/>
      <c r="F643" s="398"/>
      <c r="G643" s="398"/>
      <c r="H643" s="398"/>
      <c r="I643" s="398"/>
      <c r="K643" s="67"/>
      <c r="L643" s="67"/>
      <c r="M643" s="67"/>
      <c r="N643" s="67"/>
    </row>
    <row r="644">
      <c r="A644" s="397"/>
      <c r="B644" s="305"/>
      <c r="C644" s="305"/>
      <c r="D644" s="305"/>
      <c r="E644" s="305"/>
      <c r="F644" s="398"/>
      <c r="G644" s="398"/>
      <c r="H644" s="398"/>
      <c r="I644" s="398"/>
      <c r="K644" s="67"/>
      <c r="L644" s="67"/>
      <c r="M644" s="67"/>
      <c r="N644" s="67"/>
    </row>
    <row r="645">
      <c r="A645" s="397"/>
      <c r="B645" s="305"/>
      <c r="C645" s="305"/>
      <c r="D645" s="305"/>
      <c r="E645" s="305"/>
      <c r="F645" s="398"/>
      <c r="G645" s="398"/>
      <c r="H645" s="398"/>
      <c r="I645" s="398"/>
      <c r="K645" s="67"/>
      <c r="L645" s="67"/>
      <c r="M645" s="67"/>
      <c r="N645" s="67"/>
    </row>
    <row r="646">
      <c r="A646" s="397"/>
      <c r="B646" s="305"/>
      <c r="C646" s="305"/>
      <c r="D646" s="305"/>
      <c r="E646" s="305"/>
      <c r="F646" s="398"/>
      <c r="G646" s="398"/>
      <c r="H646" s="398"/>
      <c r="I646" s="398"/>
      <c r="K646" s="67"/>
      <c r="L646" s="67"/>
      <c r="M646" s="67"/>
      <c r="N646" s="67"/>
    </row>
    <row r="647">
      <c r="A647" s="397"/>
      <c r="B647" s="305"/>
      <c r="C647" s="305"/>
      <c r="D647" s="305"/>
      <c r="E647" s="305"/>
      <c r="F647" s="398"/>
      <c r="G647" s="398"/>
      <c r="H647" s="398"/>
      <c r="I647" s="398"/>
      <c r="K647" s="67"/>
      <c r="L647" s="67"/>
      <c r="M647" s="67"/>
      <c r="N647" s="67"/>
    </row>
    <row r="648">
      <c r="A648" s="397"/>
      <c r="B648" s="305"/>
      <c r="C648" s="305"/>
      <c r="D648" s="305"/>
      <c r="E648" s="305"/>
      <c r="F648" s="398"/>
      <c r="G648" s="398"/>
      <c r="H648" s="398"/>
      <c r="I648" s="398"/>
      <c r="K648" s="67"/>
      <c r="L648" s="67"/>
      <c r="M648" s="67"/>
      <c r="N648" s="67"/>
    </row>
    <row r="649">
      <c r="A649" s="397"/>
      <c r="B649" s="305"/>
      <c r="C649" s="305"/>
      <c r="D649" s="305"/>
      <c r="E649" s="305"/>
      <c r="F649" s="398"/>
      <c r="G649" s="398"/>
      <c r="H649" s="398"/>
      <c r="I649" s="398"/>
      <c r="K649" s="67"/>
      <c r="L649" s="67"/>
      <c r="M649" s="67"/>
      <c r="N649" s="67"/>
    </row>
    <row r="650">
      <c r="A650" s="397"/>
      <c r="B650" s="305"/>
      <c r="C650" s="305"/>
      <c r="D650" s="305"/>
      <c r="E650" s="305"/>
      <c r="F650" s="398"/>
      <c r="G650" s="398"/>
      <c r="H650" s="398"/>
      <c r="I650" s="398"/>
      <c r="K650" s="67"/>
      <c r="L650" s="67"/>
      <c r="M650" s="67"/>
      <c r="N650" s="67"/>
    </row>
    <row r="651">
      <c r="A651" s="397"/>
      <c r="B651" s="305"/>
      <c r="C651" s="305"/>
      <c r="D651" s="305"/>
      <c r="E651" s="305"/>
      <c r="F651" s="398"/>
      <c r="G651" s="398"/>
      <c r="H651" s="398"/>
      <c r="I651" s="398"/>
      <c r="K651" s="67"/>
      <c r="L651" s="67"/>
      <c r="M651" s="67"/>
      <c r="N651" s="67"/>
    </row>
    <row r="652">
      <c r="A652" s="397"/>
      <c r="B652" s="305"/>
      <c r="C652" s="305"/>
      <c r="D652" s="305"/>
      <c r="E652" s="305"/>
      <c r="F652" s="398"/>
      <c r="G652" s="398"/>
      <c r="H652" s="398"/>
      <c r="I652" s="398"/>
      <c r="K652" s="67"/>
      <c r="L652" s="67"/>
      <c r="M652" s="67"/>
      <c r="N652" s="67"/>
    </row>
    <row r="653">
      <c r="A653" s="397"/>
      <c r="B653" s="305"/>
      <c r="C653" s="305"/>
      <c r="D653" s="305"/>
      <c r="E653" s="305"/>
      <c r="F653" s="398"/>
      <c r="G653" s="398"/>
      <c r="H653" s="398"/>
      <c r="I653" s="398"/>
      <c r="K653" s="67"/>
      <c r="L653" s="67"/>
      <c r="M653" s="67"/>
      <c r="N653" s="67"/>
    </row>
    <row r="654">
      <c r="A654" s="397"/>
      <c r="B654" s="305"/>
      <c r="C654" s="305"/>
      <c r="D654" s="305"/>
      <c r="E654" s="305"/>
      <c r="F654" s="398"/>
      <c r="G654" s="398"/>
      <c r="H654" s="398"/>
      <c r="I654" s="398"/>
      <c r="K654" s="67"/>
      <c r="L654" s="67"/>
      <c r="M654" s="67"/>
      <c r="N654" s="67"/>
    </row>
    <row r="655">
      <c r="A655" s="397"/>
      <c r="B655" s="305"/>
      <c r="C655" s="305"/>
      <c r="D655" s="305"/>
      <c r="E655" s="305"/>
      <c r="F655" s="398"/>
      <c r="G655" s="398"/>
      <c r="H655" s="398"/>
      <c r="I655" s="398"/>
      <c r="K655" s="67"/>
      <c r="L655" s="67"/>
      <c r="M655" s="67"/>
      <c r="N655" s="67"/>
    </row>
    <row r="656">
      <c r="A656" s="397"/>
      <c r="B656" s="305"/>
      <c r="C656" s="305"/>
      <c r="D656" s="305"/>
      <c r="E656" s="305"/>
      <c r="F656" s="398"/>
      <c r="G656" s="398"/>
      <c r="H656" s="398"/>
      <c r="I656" s="398"/>
      <c r="K656" s="67"/>
      <c r="L656" s="67"/>
      <c r="M656" s="67"/>
      <c r="N656" s="67"/>
    </row>
    <row r="657">
      <c r="A657" s="397"/>
      <c r="B657" s="305"/>
      <c r="C657" s="305"/>
      <c r="D657" s="305"/>
      <c r="E657" s="305"/>
      <c r="F657" s="398"/>
      <c r="G657" s="398"/>
      <c r="H657" s="398"/>
      <c r="I657" s="398"/>
      <c r="K657" s="67"/>
      <c r="L657" s="67"/>
      <c r="M657" s="67"/>
      <c r="N657" s="67"/>
    </row>
    <row r="658">
      <c r="A658" s="397"/>
      <c r="B658" s="305"/>
      <c r="C658" s="305"/>
      <c r="D658" s="305"/>
      <c r="E658" s="305"/>
      <c r="F658" s="398"/>
      <c r="G658" s="398"/>
      <c r="H658" s="398"/>
      <c r="I658" s="398"/>
      <c r="K658" s="67"/>
      <c r="L658" s="67"/>
      <c r="M658" s="67"/>
      <c r="N658" s="67"/>
    </row>
    <row r="659">
      <c r="A659" s="397"/>
      <c r="B659" s="305"/>
      <c r="C659" s="305"/>
      <c r="D659" s="305"/>
      <c r="E659" s="305"/>
      <c r="F659" s="398"/>
      <c r="G659" s="398"/>
      <c r="H659" s="398"/>
      <c r="I659" s="398"/>
      <c r="K659" s="67"/>
      <c r="L659" s="67"/>
      <c r="M659" s="67"/>
      <c r="N659" s="67"/>
    </row>
    <row r="660">
      <c r="A660" s="397"/>
      <c r="B660" s="305"/>
      <c r="C660" s="305"/>
      <c r="D660" s="305"/>
      <c r="E660" s="305"/>
      <c r="F660" s="398"/>
      <c r="G660" s="398"/>
      <c r="H660" s="398"/>
      <c r="I660" s="398"/>
      <c r="K660" s="67"/>
      <c r="L660" s="67"/>
      <c r="M660" s="67"/>
      <c r="N660" s="67"/>
    </row>
    <row r="661">
      <c r="A661" s="397"/>
      <c r="B661" s="305"/>
      <c r="C661" s="305"/>
      <c r="D661" s="305"/>
      <c r="E661" s="305"/>
      <c r="F661" s="398"/>
      <c r="G661" s="398"/>
      <c r="H661" s="398"/>
      <c r="I661" s="398"/>
      <c r="K661" s="67"/>
      <c r="L661" s="67"/>
      <c r="M661" s="67"/>
      <c r="N661" s="67"/>
    </row>
    <row r="662">
      <c r="A662" s="397"/>
      <c r="B662" s="305"/>
      <c r="C662" s="305"/>
      <c r="D662" s="305"/>
      <c r="E662" s="305"/>
      <c r="F662" s="398"/>
      <c r="G662" s="398"/>
      <c r="H662" s="398"/>
      <c r="I662" s="398"/>
      <c r="K662" s="67"/>
      <c r="L662" s="67"/>
      <c r="M662" s="67"/>
      <c r="N662" s="67"/>
    </row>
    <row r="663">
      <c r="A663" s="397"/>
      <c r="B663" s="305"/>
      <c r="C663" s="305"/>
      <c r="D663" s="305"/>
      <c r="E663" s="305"/>
      <c r="F663" s="398"/>
      <c r="G663" s="398"/>
      <c r="H663" s="398"/>
      <c r="I663" s="398"/>
      <c r="K663" s="67"/>
      <c r="L663" s="67"/>
      <c r="M663" s="67"/>
      <c r="N663" s="67"/>
    </row>
    <row r="664">
      <c r="A664" s="397"/>
      <c r="B664" s="305"/>
      <c r="C664" s="305"/>
      <c r="D664" s="305"/>
      <c r="E664" s="305"/>
      <c r="F664" s="398"/>
      <c r="G664" s="398"/>
      <c r="H664" s="398"/>
      <c r="I664" s="398"/>
      <c r="K664" s="67"/>
      <c r="L664" s="67"/>
      <c r="M664" s="67"/>
      <c r="N664" s="67"/>
    </row>
    <row r="665">
      <c r="A665" s="397"/>
      <c r="B665" s="305"/>
      <c r="C665" s="305"/>
      <c r="D665" s="305"/>
      <c r="E665" s="305"/>
      <c r="F665" s="398"/>
      <c r="G665" s="398"/>
      <c r="H665" s="398"/>
      <c r="I665" s="398"/>
      <c r="K665" s="67"/>
      <c r="L665" s="67"/>
      <c r="M665" s="67"/>
      <c r="N665" s="67"/>
    </row>
    <row r="666">
      <c r="A666" s="397"/>
      <c r="B666" s="305"/>
      <c r="C666" s="305"/>
      <c r="D666" s="305"/>
      <c r="E666" s="305"/>
      <c r="F666" s="398"/>
      <c r="G666" s="398"/>
      <c r="H666" s="398"/>
      <c r="I666" s="398"/>
      <c r="K666" s="67"/>
      <c r="L666" s="67"/>
      <c r="M666" s="67"/>
      <c r="N666" s="67"/>
    </row>
    <row r="667">
      <c r="A667" s="397"/>
      <c r="B667" s="305"/>
      <c r="C667" s="305"/>
      <c r="D667" s="305"/>
      <c r="E667" s="305"/>
      <c r="F667" s="398"/>
      <c r="G667" s="398"/>
      <c r="H667" s="398"/>
      <c r="I667" s="398"/>
      <c r="K667" s="67"/>
      <c r="L667" s="67"/>
      <c r="M667" s="67"/>
      <c r="N667" s="67"/>
    </row>
    <row r="668">
      <c r="A668" s="397"/>
      <c r="B668" s="305"/>
      <c r="C668" s="305"/>
      <c r="D668" s="305"/>
      <c r="E668" s="305"/>
      <c r="F668" s="398"/>
      <c r="G668" s="398"/>
      <c r="H668" s="398"/>
      <c r="I668" s="398"/>
      <c r="K668" s="67"/>
      <c r="L668" s="67"/>
      <c r="M668" s="67"/>
      <c r="N668" s="67"/>
    </row>
    <row r="669">
      <c r="A669" s="397"/>
      <c r="B669" s="305"/>
      <c r="C669" s="305"/>
      <c r="D669" s="305"/>
      <c r="E669" s="305"/>
      <c r="F669" s="398"/>
      <c r="G669" s="398"/>
      <c r="H669" s="398"/>
      <c r="I669" s="398"/>
      <c r="K669" s="67"/>
      <c r="L669" s="67"/>
      <c r="M669" s="67"/>
      <c r="N669" s="67"/>
    </row>
    <row r="670">
      <c r="A670" s="397"/>
      <c r="B670" s="305"/>
      <c r="C670" s="305"/>
      <c r="D670" s="305"/>
      <c r="E670" s="305"/>
      <c r="F670" s="398"/>
      <c r="G670" s="398"/>
      <c r="H670" s="398"/>
      <c r="I670" s="398"/>
      <c r="K670" s="67"/>
      <c r="L670" s="67"/>
      <c r="M670" s="67"/>
      <c r="N670" s="67"/>
    </row>
    <row r="671">
      <c r="A671" s="397"/>
      <c r="B671" s="305"/>
      <c r="C671" s="305"/>
      <c r="D671" s="305"/>
      <c r="E671" s="305"/>
      <c r="F671" s="398"/>
      <c r="G671" s="398"/>
      <c r="H671" s="398"/>
      <c r="I671" s="398"/>
      <c r="K671" s="67"/>
      <c r="L671" s="67"/>
      <c r="M671" s="67"/>
      <c r="N671" s="67"/>
    </row>
    <row r="672">
      <c r="A672" s="397"/>
      <c r="B672" s="305"/>
      <c r="C672" s="305"/>
      <c r="D672" s="305"/>
      <c r="E672" s="305"/>
      <c r="F672" s="398"/>
      <c r="G672" s="398"/>
      <c r="H672" s="398"/>
      <c r="I672" s="398"/>
      <c r="K672" s="67"/>
      <c r="L672" s="67"/>
      <c r="M672" s="67"/>
      <c r="N672" s="67"/>
    </row>
    <row r="673">
      <c r="A673" s="397"/>
      <c r="B673" s="305"/>
      <c r="C673" s="305"/>
      <c r="D673" s="305"/>
      <c r="E673" s="305"/>
      <c r="F673" s="398"/>
      <c r="G673" s="398"/>
      <c r="H673" s="398"/>
      <c r="I673" s="398"/>
      <c r="K673" s="67"/>
      <c r="L673" s="67"/>
      <c r="M673" s="67"/>
      <c r="N673" s="67"/>
    </row>
    <row r="674">
      <c r="A674" s="397"/>
      <c r="B674" s="305"/>
      <c r="C674" s="305"/>
      <c r="D674" s="305"/>
      <c r="E674" s="305"/>
      <c r="F674" s="398"/>
      <c r="G674" s="398"/>
      <c r="H674" s="398"/>
      <c r="I674" s="398"/>
      <c r="K674" s="67"/>
      <c r="L674" s="67"/>
      <c r="M674" s="67"/>
      <c r="N674" s="67"/>
    </row>
    <row r="675">
      <c r="A675" s="397"/>
      <c r="B675" s="305"/>
      <c r="C675" s="305"/>
      <c r="D675" s="305"/>
      <c r="E675" s="305"/>
      <c r="F675" s="398"/>
      <c r="G675" s="398"/>
      <c r="H675" s="398"/>
      <c r="I675" s="398"/>
      <c r="K675" s="67"/>
      <c r="L675" s="67"/>
      <c r="M675" s="67"/>
      <c r="N675" s="67"/>
    </row>
    <row r="676">
      <c r="A676" s="397"/>
      <c r="B676" s="305"/>
      <c r="C676" s="305"/>
      <c r="D676" s="305"/>
      <c r="E676" s="305"/>
      <c r="F676" s="398"/>
      <c r="G676" s="398"/>
      <c r="H676" s="398"/>
      <c r="I676" s="398"/>
      <c r="K676" s="67"/>
      <c r="L676" s="67"/>
      <c r="M676" s="67"/>
      <c r="N676" s="67"/>
    </row>
    <row r="677">
      <c r="A677" s="397"/>
      <c r="B677" s="305"/>
      <c r="C677" s="305"/>
      <c r="D677" s="305"/>
      <c r="E677" s="305"/>
      <c r="F677" s="398"/>
      <c r="G677" s="398"/>
      <c r="H677" s="398"/>
      <c r="I677" s="398"/>
      <c r="K677" s="67"/>
      <c r="L677" s="67"/>
      <c r="M677" s="67"/>
      <c r="N677" s="67"/>
    </row>
    <row r="678">
      <c r="A678" s="397"/>
      <c r="B678" s="305"/>
      <c r="C678" s="305"/>
      <c r="D678" s="305"/>
      <c r="E678" s="305"/>
      <c r="F678" s="398"/>
      <c r="G678" s="398"/>
      <c r="H678" s="398"/>
      <c r="I678" s="398"/>
      <c r="K678" s="67"/>
      <c r="L678" s="67"/>
      <c r="M678" s="67"/>
      <c r="N678" s="67"/>
    </row>
    <row r="679">
      <c r="A679" s="397"/>
      <c r="B679" s="305"/>
      <c r="C679" s="305"/>
      <c r="D679" s="305"/>
      <c r="E679" s="305"/>
      <c r="F679" s="398"/>
      <c r="G679" s="398"/>
      <c r="H679" s="398"/>
      <c r="I679" s="398"/>
      <c r="K679" s="67"/>
      <c r="L679" s="67"/>
      <c r="M679" s="67"/>
      <c r="N679" s="67"/>
    </row>
    <row r="680">
      <c r="A680" s="397"/>
      <c r="B680" s="305"/>
      <c r="C680" s="305"/>
      <c r="D680" s="305"/>
      <c r="E680" s="305"/>
      <c r="F680" s="398"/>
      <c r="G680" s="398"/>
      <c r="H680" s="398"/>
      <c r="I680" s="398"/>
      <c r="K680" s="67"/>
      <c r="L680" s="67"/>
      <c r="M680" s="67"/>
      <c r="N680" s="67"/>
    </row>
    <row r="681">
      <c r="A681" s="397"/>
      <c r="B681" s="305"/>
      <c r="C681" s="305"/>
      <c r="D681" s="305"/>
      <c r="E681" s="305"/>
      <c r="F681" s="398"/>
      <c r="G681" s="398"/>
      <c r="H681" s="398"/>
      <c r="I681" s="398"/>
      <c r="K681" s="67"/>
      <c r="L681" s="67"/>
      <c r="M681" s="67"/>
      <c r="N681" s="67"/>
    </row>
    <row r="682">
      <c r="A682" s="397"/>
      <c r="B682" s="305"/>
      <c r="C682" s="305"/>
      <c r="D682" s="305"/>
      <c r="E682" s="305"/>
      <c r="F682" s="398"/>
      <c r="G682" s="398"/>
      <c r="H682" s="398"/>
      <c r="I682" s="398"/>
      <c r="K682" s="67"/>
      <c r="L682" s="67"/>
      <c r="M682" s="67"/>
      <c r="N682" s="67"/>
    </row>
    <row r="683">
      <c r="A683" s="397"/>
      <c r="B683" s="305"/>
      <c r="C683" s="305"/>
      <c r="D683" s="305"/>
      <c r="E683" s="305"/>
      <c r="F683" s="398"/>
      <c r="G683" s="398"/>
      <c r="H683" s="398"/>
      <c r="I683" s="398"/>
      <c r="K683" s="67"/>
      <c r="L683" s="67"/>
      <c r="M683" s="67"/>
      <c r="N683" s="67"/>
    </row>
    <row r="684">
      <c r="A684" s="397"/>
      <c r="B684" s="305"/>
      <c r="C684" s="305"/>
      <c r="D684" s="305"/>
      <c r="E684" s="305"/>
      <c r="F684" s="398"/>
      <c r="G684" s="398"/>
      <c r="H684" s="398"/>
      <c r="I684" s="398"/>
      <c r="K684" s="67"/>
      <c r="L684" s="67"/>
      <c r="M684" s="67"/>
      <c r="N684" s="67"/>
    </row>
    <row r="685">
      <c r="A685" s="397"/>
      <c r="B685" s="305"/>
      <c r="C685" s="305"/>
      <c r="D685" s="305"/>
      <c r="E685" s="305"/>
      <c r="F685" s="398"/>
      <c r="G685" s="398"/>
      <c r="H685" s="398"/>
      <c r="I685" s="398"/>
      <c r="K685" s="67"/>
      <c r="L685" s="67"/>
      <c r="M685" s="67"/>
      <c r="N685" s="67"/>
    </row>
    <row r="686">
      <c r="A686" s="397"/>
      <c r="B686" s="305"/>
      <c r="C686" s="305"/>
      <c r="D686" s="305"/>
      <c r="E686" s="305"/>
      <c r="F686" s="398"/>
      <c r="G686" s="398"/>
      <c r="H686" s="398"/>
      <c r="I686" s="398"/>
      <c r="K686" s="67"/>
      <c r="L686" s="67"/>
      <c r="M686" s="67"/>
      <c r="N686" s="67"/>
    </row>
    <row r="687">
      <c r="A687" s="397"/>
      <c r="B687" s="305"/>
      <c r="C687" s="305"/>
      <c r="D687" s="305"/>
      <c r="E687" s="305"/>
      <c r="F687" s="398"/>
      <c r="G687" s="398"/>
      <c r="H687" s="398"/>
      <c r="I687" s="398"/>
      <c r="K687" s="67"/>
      <c r="L687" s="67"/>
      <c r="M687" s="67"/>
      <c r="N687" s="67"/>
    </row>
    <row r="688">
      <c r="A688" s="397"/>
      <c r="B688" s="305"/>
      <c r="C688" s="305"/>
      <c r="D688" s="305"/>
      <c r="E688" s="305"/>
      <c r="F688" s="398"/>
      <c r="G688" s="398"/>
      <c r="H688" s="398"/>
      <c r="I688" s="398"/>
      <c r="K688" s="67"/>
      <c r="L688" s="67"/>
      <c r="M688" s="67"/>
      <c r="N688" s="67"/>
    </row>
    <row r="689">
      <c r="A689" s="397"/>
      <c r="B689" s="305"/>
      <c r="C689" s="305"/>
      <c r="D689" s="305"/>
      <c r="E689" s="305"/>
      <c r="F689" s="398"/>
      <c r="G689" s="398"/>
      <c r="H689" s="398"/>
      <c r="I689" s="398"/>
      <c r="K689" s="67"/>
      <c r="L689" s="67"/>
      <c r="M689" s="67"/>
      <c r="N689" s="67"/>
    </row>
    <row r="690">
      <c r="A690" s="397"/>
      <c r="B690" s="305"/>
      <c r="C690" s="305"/>
      <c r="D690" s="305"/>
      <c r="E690" s="305"/>
      <c r="F690" s="398"/>
      <c r="G690" s="398"/>
      <c r="H690" s="398"/>
      <c r="I690" s="398"/>
      <c r="K690" s="67"/>
      <c r="L690" s="67"/>
      <c r="M690" s="67"/>
      <c r="N690" s="67"/>
    </row>
    <row r="691">
      <c r="A691" s="397"/>
      <c r="B691" s="305"/>
      <c r="C691" s="305"/>
      <c r="D691" s="305"/>
      <c r="E691" s="305"/>
      <c r="F691" s="398"/>
      <c r="G691" s="398"/>
      <c r="H691" s="398"/>
      <c r="I691" s="398"/>
      <c r="K691" s="67"/>
      <c r="L691" s="67"/>
      <c r="M691" s="67"/>
      <c r="N691" s="67"/>
    </row>
    <row r="692">
      <c r="A692" s="397"/>
      <c r="B692" s="305"/>
      <c r="C692" s="305"/>
      <c r="D692" s="305"/>
      <c r="E692" s="305"/>
      <c r="F692" s="398"/>
      <c r="G692" s="398"/>
      <c r="H692" s="398"/>
      <c r="I692" s="398"/>
      <c r="K692" s="67"/>
      <c r="L692" s="67"/>
      <c r="M692" s="67"/>
      <c r="N692" s="67"/>
    </row>
    <row r="693">
      <c r="A693" s="397"/>
      <c r="B693" s="305"/>
      <c r="C693" s="305"/>
      <c r="D693" s="305"/>
      <c r="E693" s="305"/>
      <c r="F693" s="398"/>
      <c r="G693" s="398"/>
      <c r="H693" s="398"/>
      <c r="I693" s="398"/>
      <c r="K693" s="67"/>
      <c r="L693" s="67"/>
      <c r="M693" s="67"/>
      <c r="N693" s="67"/>
    </row>
    <row r="694">
      <c r="A694" s="397"/>
      <c r="B694" s="305"/>
      <c r="C694" s="305"/>
      <c r="D694" s="305"/>
      <c r="E694" s="305"/>
      <c r="F694" s="398"/>
      <c r="G694" s="398"/>
      <c r="H694" s="398"/>
      <c r="I694" s="398"/>
      <c r="K694" s="67"/>
      <c r="L694" s="67"/>
      <c r="M694" s="67"/>
      <c r="N694" s="67"/>
    </row>
    <row r="695">
      <c r="A695" s="397"/>
      <c r="B695" s="305"/>
      <c r="C695" s="305"/>
      <c r="D695" s="305"/>
      <c r="E695" s="305"/>
      <c r="F695" s="398"/>
      <c r="G695" s="398"/>
      <c r="H695" s="398"/>
      <c r="I695" s="398"/>
      <c r="K695" s="67"/>
      <c r="L695" s="67"/>
      <c r="M695" s="67"/>
      <c r="N695" s="67"/>
    </row>
    <row r="696">
      <c r="A696" s="397"/>
      <c r="B696" s="305"/>
      <c r="C696" s="305"/>
      <c r="D696" s="305"/>
      <c r="E696" s="305"/>
      <c r="F696" s="398"/>
      <c r="G696" s="398"/>
      <c r="H696" s="398"/>
      <c r="I696" s="398"/>
      <c r="K696" s="67"/>
      <c r="L696" s="67"/>
      <c r="M696" s="67"/>
      <c r="N696" s="67"/>
    </row>
    <row r="697">
      <c r="A697" s="397"/>
      <c r="B697" s="305"/>
      <c r="C697" s="305"/>
      <c r="D697" s="305"/>
      <c r="E697" s="305"/>
      <c r="F697" s="398"/>
      <c r="G697" s="398"/>
      <c r="H697" s="398"/>
      <c r="I697" s="398"/>
      <c r="K697" s="67"/>
      <c r="L697" s="67"/>
      <c r="M697" s="67"/>
      <c r="N697" s="67"/>
    </row>
    <row r="698">
      <c r="A698" s="397"/>
      <c r="B698" s="305"/>
      <c r="C698" s="305"/>
      <c r="D698" s="305"/>
      <c r="E698" s="305"/>
      <c r="F698" s="398"/>
      <c r="G698" s="398"/>
      <c r="H698" s="398"/>
      <c r="I698" s="398"/>
      <c r="K698" s="67"/>
      <c r="L698" s="67"/>
      <c r="M698" s="67"/>
      <c r="N698" s="67"/>
    </row>
    <row r="699">
      <c r="A699" s="397"/>
      <c r="B699" s="305"/>
      <c r="C699" s="305"/>
      <c r="D699" s="305"/>
      <c r="E699" s="305"/>
      <c r="F699" s="398"/>
      <c r="G699" s="398"/>
      <c r="H699" s="398"/>
      <c r="I699" s="398"/>
      <c r="K699" s="67"/>
      <c r="L699" s="67"/>
      <c r="M699" s="67"/>
      <c r="N699" s="67"/>
    </row>
    <row r="700">
      <c r="A700" s="397"/>
      <c r="B700" s="305"/>
      <c r="C700" s="305"/>
      <c r="D700" s="305"/>
      <c r="E700" s="305"/>
      <c r="F700" s="398"/>
      <c r="G700" s="398"/>
      <c r="H700" s="398"/>
      <c r="I700" s="398"/>
      <c r="K700" s="67"/>
      <c r="L700" s="67"/>
      <c r="M700" s="67"/>
      <c r="N700" s="67"/>
    </row>
    <row r="701">
      <c r="A701" s="397"/>
      <c r="B701" s="305"/>
      <c r="C701" s="305"/>
      <c r="D701" s="305"/>
      <c r="E701" s="305"/>
      <c r="F701" s="398"/>
      <c r="G701" s="398"/>
      <c r="H701" s="398"/>
      <c r="I701" s="398"/>
      <c r="K701" s="67"/>
      <c r="L701" s="67"/>
      <c r="M701" s="67"/>
      <c r="N701" s="67"/>
    </row>
    <row r="702">
      <c r="A702" s="397"/>
      <c r="B702" s="305"/>
      <c r="C702" s="305"/>
      <c r="D702" s="305"/>
      <c r="E702" s="305"/>
      <c r="F702" s="398"/>
      <c r="G702" s="398"/>
      <c r="H702" s="398"/>
      <c r="I702" s="398"/>
      <c r="K702" s="67"/>
      <c r="L702" s="67"/>
      <c r="M702" s="67"/>
      <c r="N702" s="67"/>
    </row>
    <row r="703">
      <c r="A703" s="397"/>
      <c r="B703" s="305"/>
      <c r="C703" s="305"/>
      <c r="D703" s="305"/>
      <c r="E703" s="305"/>
      <c r="F703" s="398"/>
      <c r="G703" s="398"/>
      <c r="H703" s="398"/>
      <c r="I703" s="398"/>
      <c r="K703" s="67"/>
      <c r="L703" s="67"/>
      <c r="M703" s="67"/>
      <c r="N703" s="67"/>
    </row>
    <row r="704">
      <c r="A704" s="397"/>
      <c r="B704" s="305"/>
      <c r="C704" s="305"/>
      <c r="D704" s="305"/>
      <c r="E704" s="305"/>
      <c r="F704" s="398"/>
      <c r="G704" s="398"/>
      <c r="H704" s="398"/>
      <c r="I704" s="398"/>
      <c r="K704" s="67"/>
      <c r="L704" s="67"/>
      <c r="M704" s="67"/>
      <c r="N704" s="67"/>
    </row>
    <row r="705">
      <c r="A705" s="397"/>
      <c r="B705" s="305"/>
      <c r="C705" s="305"/>
      <c r="D705" s="305"/>
      <c r="E705" s="305"/>
      <c r="F705" s="398"/>
      <c r="G705" s="398"/>
      <c r="H705" s="398"/>
      <c r="I705" s="398"/>
      <c r="K705" s="67"/>
      <c r="L705" s="67"/>
      <c r="M705" s="67"/>
      <c r="N705" s="67"/>
    </row>
    <row r="706">
      <c r="A706" s="397"/>
      <c r="B706" s="305"/>
      <c r="C706" s="305"/>
      <c r="D706" s="305"/>
      <c r="E706" s="305"/>
      <c r="F706" s="398"/>
      <c r="G706" s="398"/>
      <c r="H706" s="398"/>
      <c r="I706" s="398"/>
      <c r="K706" s="67"/>
      <c r="L706" s="67"/>
      <c r="M706" s="67"/>
      <c r="N706" s="67"/>
    </row>
    <row r="707">
      <c r="A707" s="397"/>
      <c r="B707" s="305"/>
      <c r="C707" s="305"/>
      <c r="D707" s="305"/>
      <c r="E707" s="305"/>
      <c r="F707" s="398"/>
      <c r="G707" s="398"/>
      <c r="H707" s="398"/>
      <c r="I707" s="398"/>
      <c r="K707" s="67"/>
      <c r="L707" s="67"/>
      <c r="M707" s="67"/>
      <c r="N707" s="67"/>
    </row>
    <row r="708">
      <c r="A708" s="397"/>
      <c r="B708" s="305"/>
      <c r="C708" s="305"/>
      <c r="D708" s="305"/>
      <c r="E708" s="305"/>
      <c r="F708" s="398"/>
      <c r="G708" s="398"/>
      <c r="H708" s="398"/>
      <c r="I708" s="398"/>
      <c r="K708" s="67"/>
      <c r="L708" s="67"/>
      <c r="M708" s="67"/>
      <c r="N708" s="67"/>
    </row>
    <row r="709">
      <c r="A709" s="397"/>
      <c r="B709" s="305"/>
      <c r="C709" s="305"/>
      <c r="D709" s="305"/>
      <c r="E709" s="305"/>
      <c r="F709" s="398"/>
      <c r="G709" s="398"/>
      <c r="H709" s="398"/>
      <c r="I709" s="398"/>
      <c r="K709" s="67"/>
      <c r="L709" s="67"/>
      <c r="M709" s="67"/>
      <c r="N709" s="67"/>
    </row>
    <row r="710">
      <c r="A710" s="397"/>
      <c r="B710" s="305"/>
      <c r="C710" s="305"/>
      <c r="D710" s="305"/>
      <c r="E710" s="305"/>
      <c r="F710" s="398"/>
      <c r="G710" s="398"/>
      <c r="H710" s="398"/>
      <c r="I710" s="398"/>
      <c r="K710" s="67"/>
      <c r="L710" s="67"/>
      <c r="M710" s="67"/>
      <c r="N710" s="67"/>
    </row>
    <row r="711">
      <c r="A711" s="397"/>
      <c r="B711" s="305"/>
      <c r="C711" s="305"/>
      <c r="D711" s="305"/>
      <c r="E711" s="305"/>
      <c r="F711" s="398"/>
      <c r="G711" s="398"/>
      <c r="H711" s="398"/>
      <c r="I711" s="398"/>
      <c r="K711" s="67"/>
      <c r="L711" s="67"/>
      <c r="M711" s="67"/>
      <c r="N711" s="67"/>
    </row>
    <row r="712">
      <c r="A712" s="397"/>
      <c r="B712" s="305"/>
      <c r="C712" s="305"/>
      <c r="D712" s="305"/>
      <c r="E712" s="305"/>
      <c r="F712" s="398"/>
      <c r="G712" s="398"/>
      <c r="H712" s="398"/>
      <c r="I712" s="398"/>
      <c r="K712" s="67"/>
      <c r="L712" s="67"/>
      <c r="M712" s="67"/>
      <c r="N712" s="67"/>
    </row>
    <row r="713">
      <c r="A713" s="397"/>
      <c r="B713" s="305"/>
      <c r="C713" s="305"/>
      <c r="D713" s="305"/>
      <c r="E713" s="305"/>
      <c r="F713" s="398"/>
      <c r="G713" s="398"/>
      <c r="H713" s="398"/>
      <c r="I713" s="398"/>
      <c r="K713" s="67"/>
      <c r="L713" s="67"/>
      <c r="M713" s="67"/>
      <c r="N713" s="67"/>
    </row>
    <row r="714">
      <c r="A714" s="397"/>
      <c r="B714" s="305"/>
      <c r="C714" s="305"/>
      <c r="D714" s="305"/>
      <c r="E714" s="305"/>
      <c r="F714" s="398"/>
      <c r="G714" s="398"/>
      <c r="H714" s="398"/>
      <c r="I714" s="398"/>
      <c r="K714" s="67"/>
      <c r="L714" s="67"/>
      <c r="M714" s="67"/>
      <c r="N714" s="67"/>
    </row>
    <row r="715">
      <c r="A715" s="397"/>
      <c r="B715" s="305"/>
      <c r="C715" s="305"/>
      <c r="D715" s="305"/>
      <c r="E715" s="305"/>
      <c r="F715" s="398"/>
      <c r="G715" s="398"/>
      <c r="H715" s="398"/>
      <c r="I715" s="398"/>
      <c r="K715" s="67"/>
      <c r="L715" s="67"/>
      <c r="M715" s="67"/>
      <c r="N715" s="67"/>
    </row>
    <row r="716">
      <c r="A716" s="397"/>
      <c r="B716" s="305"/>
      <c r="C716" s="305"/>
      <c r="D716" s="305"/>
      <c r="E716" s="305"/>
      <c r="F716" s="398"/>
      <c r="G716" s="398"/>
      <c r="H716" s="398"/>
      <c r="I716" s="398"/>
      <c r="K716" s="67"/>
      <c r="L716" s="67"/>
      <c r="M716" s="67"/>
      <c r="N716" s="67"/>
    </row>
    <row r="717">
      <c r="A717" s="397"/>
      <c r="B717" s="305"/>
      <c r="C717" s="305"/>
      <c r="D717" s="305"/>
      <c r="E717" s="305"/>
      <c r="F717" s="398"/>
      <c r="G717" s="398"/>
      <c r="H717" s="398"/>
      <c r="I717" s="398"/>
      <c r="K717" s="67"/>
      <c r="L717" s="67"/>
      <c r="M717" s="67"/>
      <c r="N717" s="67"/>
    </row>
    <row r="718">
      <c r="A718" s="397"/>
      <c r="B718" s="305"/>
      <c r="C718" s="305"/>
      <c r="D718" s="305"/>
      <c r="E718" s="305"/>
      <c r="F718" s="398"/>
      <c r="G718" s="398"/>
      <c r="H718" s="398"/>
      <c r="I718" s="398"/>
      <c r="K718" s="67"/>
      <c r="L718" s="67"/>
      <c r="M718" s="67"/>
      <c r="N718" s="67"/>
    </row>
    <row r="719">
      <c r="A719" s="397"/>
      <c r="B719" s="305"/>
      <c r="C719" s="305"/>
      <c r="D719" s="305"/>
      <c r="E719" s="305"/>
      <c r="F719" s="398"/>
      <c r="G719" s="398"/>
      <c r="H719" s="398"/>
      <c r="I719" s="398"/>
      <c r="K719" s="67"/>
      <c r="L719" s="67"/>
      <c r="M719" s="67"/>
      <c r="N719" s="67"/>
    </row>
    <row r="720">
      <c r="A720" s="397"/>
      <c r="B720" s="305"/>
      <c r="C720" s="305"/>
      <c r="D720" s="305"/>
      <c r="E720" s="305"/>
      <c r="F720" s="398"/>
      <c r="G720" s="398"/>
      <c r="H720" s="398"/>
      <c r="I720" s="398"/>
      <c r="K720" s="67"/>
      <c r="L720" s="67"/>
      <c r="M720" s="67"/>
      <c r="N720" s="67"/>
    </row>
    <row r="721">
      <c r="A721" s="397"/>
      <c r="B721" s="305"/>
      <c r="C721" s="305"/>
      <c r="D721" s="305"/>
      <c r="E721" s="305"/>
      <c r="F721" s="398"/>
      <c r="G721" s="398"/>
      <c r="H721" s="398"/>
      <c r="I721" s="398"/>
      <c r="K721" s="67"/>
      <c r="L721" s="67"/>
      <c r="M721" s="67"/>
      <c r="N721" s="67"/>
    </row>
    <row r="722">
      <c r="A722" s="397"/>
      <c r="B722" s="305"/>
      <c r="C722" s="305"/>
      <c r="D722" s="305"/>
      <c r="E722" s="305"/>
      <c r="F722" s="398"/>
      <c r="G722" s="398"/>
      <c r="H722" s="398"/>
      <c r="I722" s="398"/>
      <c r="K722" s="67"/>
      <c r="L722" s="67"/>
      <c r="M722" s="67"/>
      <c r="N722" s="67"/>
    </row>
    <row r="723">
      <c r="A723" s="397"/>
      <c r="B723" s="305"/>
      <c r="C723" s="305"/>
      <c r="D723" s="305"/>
      <c r="E723" s="305"/>
      <c r="F723" s="398"/>
      <c r="G723" s="398"/>
      <c r="H723" s="398"/>
      <c r="I723" s="398"/>
      <c r="K723" s="67"/>
      <c r="L723" s="67"/>
      <c r="M723" s="67"/>
      <c r="N723" s="67"/>
    </row>
    <row r="724">
      <c r="A724" s="397"/>
      <c r="B724" s="305"/>
      <c r="C724" s="305"/>
      <c r="D724" s="305"/>
      <c r="E724" s="305"/>
      <c r="F724" s="398"/>
      <c r="G724" s="398"/>
      <c r="H724" s="398"/>
      <c r="I724" s="398"/>
      <c r="K724" s="67"/>
      <c r="L724" s="67"/>
      <c r="M724" s="67"/>
      <c r="N724" s="67"/>
    </row>
    <row r="725">
      <c r="A725" s="397"/>
      <c r="B725" s="305"/>
      <c r="C725" s="305"/>
      <c r="D725" s="305"/>
      <c r="E725" s="305"/>
      <c r="F725" s="398"/>
      <c r="G725" s="398"/>
      <c r="H725" s="398"/>
      <c r="I725" s="398"/>
      <c r="K725" s="67"/>
      <c r="L725" s="67"/>
      <c r="M725" s="67"/>
      <c r="N725" s="67"/>
    </row>
    <row r="726">
      <c r="A726" s="397"/>
      <c r="B726" s="305"/>
      <c r="C726" s="305"/>
      <c r="D726" s="305"/>
      <c r="E726" s="305"/>
      <c r="F726" s="398"/>
      <c r="G726" s="398"/>
      <c r="H726" s="398"/>
      <c r="I726" s="398"/>
      <c r="K726" s="67"/>
      <c r="L726" s="67"/>
      <c r="M726" s="67"/>
      <c r="N726" s="67"/>
    </row>
    <row r="727">
      <c r="A727" s="397"/>
      <c r="B727" s="305"/>
      <c r="C727" s="305"/>
      <c r="D727" s="305"/>
      <c r="E727" s="305"/>
      <c r="F727" s="398"/>
      <c r="G727" s="398"/>
      <c r="H727" s="398"/>
      <c r="I727" s="398"/>
      <c r="K727" s="67"/>
      <c r="L727" s="67"/>
      <c r="M727" s="67"/>
      <c r="N727" s="67"/>
    </row>
    <row r="728">
      <c r="A728" s="397"/>
      <c r="B728" s="305"/>
      <c r="C728" s="305"/>
      <c r="D728" s="305"/>
      <c r="E728" s="305"/>
      <c r="F728" s="398"/>
      <c r="G728" s="398"/>
      <c r="H728" s="398"/>
      <c r="I728" s="398"/>
      <c r="K728" s="67"/>
      <c r="L728" s="67"/>
      <c r="M728" s="67"/>
      <c r="N728" s="67"/>
    </row>
    <row r="729">
      <c r="A729" s="397"/>
      <c r="B729" s="305"/>
      <c r="C729" s="305"/>
      <c r="D729" s="305"/>
      <c r="E729" s="305"/>
      <c r="F729" s="398"/>
      <c r="G729" s="398"/>
      <c r="H729" s="398"/>
      <c r="I729" s="398"/>
      <c r="K729" s="67"/>
      <c r="L729" s="67"/>
      <c r="M729" s="67"/>
      <c r="N729" s="67"/>
    </row>
    <row r="730">
      <c r="A730" s="397"/>
      <c r="B730" s="305"/>
      <c r="C730" s="305"/>
      <c r="D730" s="305"/>
      <c r="E730" s="305"/>
      <c r="F730" s="398"/>
      <c r="G730" s="398"/>
      <c r="H730" s="398"/>
      <c r="I730" s="398"/>
      <c r="K730" s="67"/>
      <c r="L730" s="67"/>
      <c r="M730" s="67"/>
      <c r="N730" s="67"/>
    </row>
    <row r="731">
      <c r="A731" s="397"/>
      <c r="B731" s="305"/>
      <c r="C731" s="305"/>
      <c r="D731" s="305"/>
      <c r="E731" s="305"/>
      <c r="F731" s="398"/>
      <c r="G731" s="398"/>
      <c r="H731" s="398"/>
      <c r="I731" s="398"/>
      <c r="K731" s="67"/>
      <c r="L731" s="67"/>
      <c r="M731" s="67"/>
      <c r="N731" s="67"/>
    </row>
    <row r="732">
      <c r="A732" s="397"/>
      <c r="B732" s="305"/>
      <c r="C732" s="305"/>
      <c r="D732" s="305"/>
      <c r="E732" s="305"/>
      <c r="F732" s="398"/>
      <c r="G732" s="398"/>
      <c r="H732" s="398"/>
      <c r="I732" s="398"/>
      <c r="K732" s="67"/>
      <c r="L732" s="67"/>
      <c r="M732" s="67"/>
      <c r="N732" s="67"/>
    </row>
    <row r="733">
      <c r="A733" s="397"/>
      <c r="B733" s="305"/>
      <c r="C733" s="305"/>
      <c r="D733" s="305"/>
      <c r="E733" s="305"/>
      <c r="F733" s="398"/>
      <c r="G733" s="398"/>
      <c r="H733" s="398"/>
      <c r="I733" s="398"/>
      <c r="K733" s="67"/>
      <c r="L733" s="67"/>
      <c r="M733" s="67"/>
      <c r="N733" s="67"/>
    </row>
    <row r="734">
      <c r="A734" s="397"/>
      <c r="B734" s="305"/>
      <c r="C734" s="305"/>
      <c r="D734" s="305"/>
      <c r="E734" s="305"/>
      <c r="F734" s="398"/>
      <c r="G734" s="398"/>
      <c r="H734" s="398"/>
      <c r="I734" s="398"/>
      <c r="K734" s="67"/>
      <c r="L734" s="67"/>
      <c r="M734" s="67"/>
      <c r="N734" s="67"/>
    </row>
    <row r="735">
      <c r="A735" s="397"/>
      <c r="B735" s="305"/>
      <c r="C735" s="305"/>
      <c r="D735" s="305"/>
      <c r="E735" s="305"/>
      <c r="F735" s="398"/>
      <c r="G735" s="398"/>
      <c r="H735" s="398"/>
      <c r="I735" s="398"/>
      <c r="K735" s="67"/>
      <c r="L735" s="67"/>
      <c r="M735" s="67"/>
      <c r="N735" s="67"/>
    </row>
    <row r="736">
      <c r="A736" s="397"/>
      <c r="B736" s="305"/>
      <c r="C736" s="305"/>
      <c r="D736" s="305"/>
      <c r="E736" s="305"/>
      <c r="F736" s="398"/>
      <c r="G736" s="398"/>
      <c r="H736" s="398"/>
      <c r="I736" s="398"/>
      <c r="K736" s="67"/>
      <c r="L736" s="67"/>
      <c r="M736" s="67"/>
      <c r="N736" s="67"/>
    </row>
    <row r="737">
      <c r="A737" s="397"/>
      <c r="B737" s="305"/>
      <c r="C737" s="305"/>
      <c r="D737" s="305"/>
      <c r="E737" s="305"/>
      <c r="F737" s="398"/>
      <c r="G737" s="398"/>
      <c r="H737" s="398"/>
      <c r="I737" s="398"/>
      <c r="K737" s="67"/>
      <c r="L737" s="67"/>
      <c r="M737" s="67"/>
      <c r="N737" s="67"/>
    </row>
    <row r="738">
      <c r="A738" s="397"/>
      <c r="B738" s="305"/>
      <c r="C738" s="305"/>
      <c r="D738" s="305"/>
      <c r="E738" s="305"/>
      <c r="F738" s="398"/>
      <c r="G738" s="398"/>
      <c r="H738" s="398"/>
      <c r="I738" s="398"/>
      <c r="K738" s="67"/>
      <c r="L738" s="67"/>
      <c r="M738" s="67"/>
      <c r="N738" s="67"/>
    </row>
    <row r="739">
      <c r="A739" s="397"/>
      <c r="B739" s="305"/>
      <c r="C739" s="305"/>
      <c r="D739" s="305"/>
      <c r="E739" s="305"/>
      <c r="F739" s="398"/>
      <c r="G739" s="398"/>
      <c r="H739" s="398"/>
      <c r="I739" s="398"/>
      <c r="K739" s="67"/>
      <c r="L739" s="67"/>
      <c r="M739" s="67"/>
      <c r="N739" s="67"/>
    </row>
    <row r="740">
      <c r="A740" s="397"/>
      <c r="B740" s="305"/>
      <c r="C740" s="305"/>
      <c r="D740" s="305"/>
      <c r="E740" s="305"/>
      <c r="F740" s="398"/>
      <c r="G740" s="398"/>
      <c r="H740" s="398"/>
      <c r="I740" s="398"/>
      <c r="K740" s="67"/>
      <c r="L740" s="67"/>
      <c r="M740" s="67"/>
      <c r="N740" s="67"/>
    </row>
    <row r="741">
      <c r="A741" s="397"/>
      <c r="B741" s="305"/>
      <c r="C741" s="305"/>
      <c r="D741" s="305"/>
      <c r="E741" s="305"/>
      <c r="F741" s="398"/>
      <c r="G741" s="398"/>
      <c r="H741" s="398"/>
      <c r="I741" s="398"/>
      <c r="K741" s="67"/>
      <c r="L741" s="67"/>
      <c r="M741" s="67"/>
      <c r="N741" s="67"/>
    </row>
    <row r="742">
      <c r="A742" s="397"/>
      <c r="B742" s="305"/>
      <c r="C742" s="305"/>
      <c r="D742" s="305"/>
      <c r="E742" s="305"/>
      <c r="F742" s="398"/>
      <c r="G742" s="398"/>
      <c r="H742" s="398"/>
      <c r="I742" s="398"/>
      <c r="K742" s="67"/>
      <c r="L742" s="67"/>
      <c r="M742" s="67"/>
      <c r="N742" s="67"/>
    </row>
    <row r="743">
      <c r="A743" s="397"/>
      <c r="B743" s="305"/>
      <c r="C743" s="305"/>
      <c r="D743" s="305"/>
      <c r="E743" s="305"/>
      <c r="F743" s="398"/>
      <c r="G743" s="398"/>
      <c r="H743" s="398"/>
      <c r="I743" s="398"/>
      <c r="K743" s="67"/>
      <c r="L743" s="67"/>
      <c r="M743" s="67"/>
      <c r="N743" s="67"/>
    </row>
    <row r="744">
      <c r="A744" s="397"/>
      <c r="B744" s="305"/>
      <c r="C744" s="305"/>
      <c r="D744" s="305"/>
      <c r="E744" s="305"/>
      <c r="F744" s="398"/>
      <c r="G744" s="398"/>
      <c r="H744" s="398"/>
      <c r="I744" s="398"/>
      <c r="K744" s="67"/>
      <c r="L744" s="67"/>
      <c r="M744" s="67"/>
      <c r="N744" s="67"/>
    </row>
    <row r="745">
      <c r="A745" s="397"/>
      <c r="B745" s="305"/>
      <c r="C745" s="305"/>
      <c r="D745" s="305"/>
      <c r="E745" s="305"/>
      <c r="F745" s="398"/>
      <c r="G745" s="398"/>
      <c r="H745" s="398"/>
      <c r="I745" s="398"/>
      <c r="K745" s="67"/>
      <c r="L745" s="67"/>
      <c r="M745" s="67"/>
      <c r="N745" s="67"/>
    </row>
    <row r="746">
      <c r="A746" s="397"/>
      <c r="B746" s="305"/>
      <c r="C746" s="305"/>
      <c r="D746" s="305"/>
      <c r="E746" s="305"/>
      <c r="F746" s="398"/>
      <c r="G746" s="398"/>
      <c r="H746" s="398"/>
      <c r="I746" s="398"/>
      <c r="K746" s="67"/>
      <c r="L746" s="67"/>
      <c r="M746" s="67"/>
      <c r="N746" s="67"/>
    </row>
    <row r="747">
      <c r="A747" s="397"/>
      <c r="B747" s="305"/>
      <c r="C747" s="305"/>
      <c r="D747" s="305"/>
      <c r="E747" s="305"/>
      <c r="F747" s="398"/>
      <c r="G747" s="398"/>
      <c r="H747" s="398"/>
      <c r="I747" s="398"/>
      <c r="K747" s="67"/>
      <c r="L747" s="67"/>
      <c r="M747" s="67"/>
      <c r="N747" s="67"/>
    </row>
    <row r="748">
      <c r="A748" s="397"/>
      <c r="B748" s="305"/>
      <c r="C748" s="305"/>
      <c r="D748" s="305"/>
      <c r="E748" s="305"/>
      <c r="F748" s="398"/>
      <c r="G748" s="398"/>
      <c r="H748" s="398"/>
      <c r="I748" s="398"/>
      <c r="K748" s="67"/>
      <c r="L748" s="67"/>
      <c r="M748" s="67"/>
      <c r="N748" s="67"/>
    </row>
    <row r="749">
      <c r="A749" s="397"/>
      <c r="B749" s="305"/>
      <c r="C749" s="305"/>
      <c r="D749" s="305"/>
      <c r="E749" s="305"/>
      <c r="F749" s="398"/>
      <c r="G749" s="398"/>
      <c r="H749" s="398"/>
      <c r="I749" s="398"/>
      <c r="K749" s="67"/>
      <c r="L749" s="67"/>
      <c r="M749" s="67"/>
      <c r="N749" s="67"/>
    </row>
    <row r="750">
      <c r="A750" s="397"/>
      <c r="B750" s="305"/>
      <c r="C750" s="305"/>
      <c r="D750" s="305"/>
      <c r="E750" s="305"/>
      <c r="F750" s="398"/>
      <c r="G750" s="398"/>
      <c r="H750" s="398"/>
      <c r="I750" s="398"/>
      <c r="K750" s="67"/>
      <c r="L750" s="67"/>
      <c r="M750" s="67"/>
      <c r="N750" s="67"/>
    </row>
    <row r="751">
      <c r="A751" s="397"/>
      <c r="B751" s="305"/>
      <c r="C751" s="305"/>
      <c r="D751" s="305"/>
      <c r="E751" s="305"/>
      <c r="F751" s="398"/>
      <c r="G751" s="398"/>
      <c r="H751" s="398"/>
      <c r="I751" s="398"/>
      <c r="K751" s="67"/>
      <c r="L751" s="67"/>
      <c r="M751" s="67"/>
      <c r="N751" s="67"/>
    </row>
    <row r="752">
      <c r="A752" s="397"/>
      <c r="B752" s="305"/>
      <c r="C752" s="305"/>
      <c r="D752" s="305"/>
      <c r="E752" s="305"/>
      <c r="F752" s="398"/>
      <c r="G752" s="398"/>
      <c r="H752" s="398"/>
      <c r="I752" s="398"/>
      <c r="K752" s="67"/>
      <c r="L752" s="67"/>
      <c r="M752" s="67"/>
      <c r="N752" s="67"/>
    </row>
    <row r="753">
      <c r="A753" s="397"/>
      <c r="B753" s="305"/>
      <c r="C753" s="305"/>
      <c r="D753" s="305"/>
      <c r="E753" s="305"/>
      <c r="F753" s="398"/>
      <c r="G753" s="398"/>
      <c r="H753" s="398"/>
      <c r="I753" s="398"/>
      <c r="K753" s="67"/>
      <c r="L753" s="67"/>
      <c r="M753" s="67"/>
      <c r="N753" s="67"/>
    </row>
    <row r="754">
      <c r="A754" s="397"/>
      <c r="B754" s="305"/>
      <c r="C754" s="305"/>
      <c r="D754" s="305"/>
      <c r="E754" s="305"/>
      <c r="F754" s="398"/>
      <c r="G754" s="398"/>
      <c r="H754" s="398"/>
      <c r="I754" s="398"/>
      <c r="K754" s="67"/>
      <c r="L754" s="67"/>
      <c r="M754" s="67"/>
      <c r="N754" s="67"/>
    </row>
    <row r="755">
      <c r="A755" s="397"/>
      <c r="B755" s="305"/>
      <c r="C755" s="305"/>
      <c r="D755" s="305"/>
      <c r="E755" s="305"/>
      <c r="F755" s="398"/>
      <c r="G755" s="398"/>
      <c r="H755" s="398"/>
      <c r="I755" s="398"/>
      <c r="K755" s="67"/>
      <c r="L755" s="67"/>
      <c r="M755" s="67"/>
      <c r="N755" s="67"/>
    </row>
    <row r="756">
      <c r="A756" s="397"/>
      <c r="B756" s="305"/>
      <c r="C756" s="305"/>
      <c r="D756" s="305"/>
      <c r="E756" s="305"/>
      <c r="F756" s="398"/>
      <c r="G756" s="398"/>
      <c r="H756" s="398"/>
      <c r="I756" s="398"/>
      <c r="K756" s="67"/>
      <c r="L756" s="67"/>
      <c r="M756" s="67"/>
      <c r="N756" s="67"/>
    </row>
    <row r="757">
      <c r="A757" s="397"/>
      <c r="B757" s="305"/>
      <c r="C757" s="305"/>
      <c r="D757" s="305"/>
      <c r="E757" s="305"/>
      <c r="F757" s="398"/>
      <c r="G757" s="398"/>
      <c r="H757" s="398"/>
      <c r="I757" s="398"/>
      <c r="K757" s="67"/>
      <c r="L757" s="67"/>
      <c r="M757" s="67"/>
      <c r="N757" s="67"/>
    </row>
    <row r="758">
      <c r="A758" s="397"/>
      <c r="B758" s="305"/>
      <c r="C758" s="305"/>
      <c r="D758" s="305"/>
      <c r="E758" s="305"/>
      <c r="F758" s="398"/>
      <c r="G758" s="398"/>
      <c r="H758" s="398"/>
      <c r="I758" s="398"/>
      <c r="K758" s="67"/>
      <c r="L758" s="67"/>
      <c r="M758" s="67"/>
      <c r="N758" s="67"/>
    </row>
    <row r="759">
      <c r="A759" s="397"/>
      <c r="B759" s="305"/>
      <c r="C759" s="305"/>
      <c r="D759" s="305"/>
      <c r="E759" s="305"/>
      <c r="F759" s="398"/>
      <c r="G759" s="398"/>
      <c r="H759" s="398"/>
      <c r="I759" s="398"/>
      <c r="K759" s="67"/>
      <c r="L759" s="67"/>
      <c r="M759" s="67"/>
      <c r="N759" s="67"/>
    </row>
    <row r="760">
      <c r="A760" s="397"/>
      <c r="B760" s="305"/>
      <c r="C760" s="305"/>
      <c r="D760" s="305"/>
      <c r="E760" s="305"/>
      <c r="F760" s="398"/>
      <c r="G760" s="398"/>
      <c r="H760" s="398"/>
      <c r="I760" s="398"/>
      <c r="K760" s="67"/>
      <c r="L760" s="67"/>
      <c r="M760" s="67"/>
      <c r="N760" s="67"/>
    </row>
    <row r="761">
      <c r="A761" s="397"/>
      <c r="B761" s="305"/>
      <c r="C761" s="305"/>
      <c r="D761" s="305"/>
      <c r="E761" s="305"/>
      <c r="F761" s="398"/>
      <c r="G761" s="398"/>
      <c r="H761" s="398"/>
      <c r="I761" s="398"/>
      <c r="K761" s="67"/>
      <c r="L761" s="67"/>
      <c r="M761" s="67"/>
      <c r="N761" s="67"/>
    </row>
    <row r="762">
      <c r="A762" s="397"/>
      <c r="B762" s="305"/>
      <c r="C762" s="305"/>
      <c r="D762" s="305"/>
      <c r="E762" s="305"/>
      <c r="F762" s="398"/>
      <c r="G762" s="398"/>
      <c r="H762" s="398"/>
      <c r="I762" s="398"/>
      <c r="K762" s="67"/>
      <c r="L762" s="67"/>
      <c r="M762" s="67"/>
      <c r="N762" s="67"/>
    </row>
    <row r="763">
      <c r="A763" s="397"/>
      <c r="B763" s="305"/>
      <c r="C763" s="305"/>
      <c r="D763" s="305"/>
      <c r="E763" s="305"/>
      <c r="F763" s="398"/>
      <c r="G763" s="398"/>
      <c r="H763" s="398"/>
      <c r="I763" s="398"/>
      <c r="K763" s="67"/>
      <c r="L763" s="67"/>
      <c r="M763" s="67"/>
      <c r="N763" s="67"/>
    </row>
    <row r="764">
      <c r="A764" s="397"/>
      <c r="B764" s="305"/>
      <c r="C764" s="305"/>
      <c r="D764" s="305"/>
      <c r="E764" s="305"/>
      <c r="F764" s="398"/>
      <c r="G764" s="398"/>
      <c r="H764" s="398"/>
      <c r="I764" s="398"/>
      <c r="K764" s="67"/>
      <c r="L764" s="67"/>
      <c r="M764" s="67"/>
      <c r="N764" s="67"/>
    </row>
    <row r="765">
      <c r="A765" s="397"/>
      <c r="B765" s="305"/>
      <c r="C765" s="305"/>
      <c r="D765" s="305"/>
      <c r="E765" s="305"/>
      <c r="F765" s="398"/>
      <c r="G765" s="398"/>
      <c r="H765" s="398"/>
      <c r="I765" s="398"/>
      <c r="K765" s="67"/>
      <c r="L765" s="67"/>
      <c r="M765" s="67"/>
      <c r="N765" s="67"/>
    </row>
    <row r="766">
      <c r="A766" s="397"/>
      <c r="B766" s="305"/>
      <c r="C766" s="305"/>
      <c r="D766" s="305"/>
      <c r="E766" s="305"/>
      <c r="F766" s="398"/>
      <c r="G766" s="398"/>
      <c r="H766" s="398"/>
      <c r="I766" s="398"/>
      <c r="K766" s="67"/>
      <c r="L766" s="67"/>
      <c r="M766" s="67"/>
      <c r="N766" s="67"/>
    </row>
    <row r="767">
      <c r="A767" s="397"/>
      <c r="B767" s="305"/>
      <c r="C767" s="305"/>
      <c r="D767" s="305"/>
      <c r="E767" s="305"/>
      <c r="F767" s="398"/>
      <c r="G767" s="398"/>
      <c r="H767" s="398"/>
      <c r="I767" s="398"/>
      <c r="K767" s="67"/>
      <c r="L767" s="67"/>
      <c r="M767" s="67"/>
      <c r="N767" s="67"/>
    </row>
    <row r="768">
      <c r="A768" s="397"/>
      <c r="B768" s="305"/>
      <c r="C768" s="305"/>
      <c r="D768" s="305"/>
      <c r="E768" s="305"/>
      <c r="F768" s="398"/>
      <c r="G768" s="398"/>
      <c r="H768" s="398"/>
      <c r="I768" s="398"/>
      <c r="K768" s="67"/>
      <c r="L768" s="67"/>
      <c r="M768" s="67"/>
      <c r="N768" s="67"/>
    </row>
    <row r="769">
      <c r="A769" s="397"/>
      <c r="B769" s="305"/>
      <c r="C769" s="305"/>
      <c r="D769" s="305"/>
      <c r="E769" s="305"/>
      <c r="F769" s="398"/>
      <c r="G769" s="398"/>
      <c r="H769" s="398"/>
      <c r="I769" s="398"/>
      <c r="K769" s="67"/>
      <c r="L769" s="67"/>
      <c r="M769" s="67"/>
      <c r="N769" s="67"/>
    </row>
    <row r="770">
      <c r="A770" s="397"/>
      <c r="B770" s="305"/>
      <c r="C770" s="305"/>
      <c r="D770" s="305"/>
      <c r="E770" s="305"/>
      <c r="F770" s="398"/>
      <c r="G770" s="398"/>
      <c r="H770" s="398"/>
      <c r="I770" s="398"/>
      <c r="K770" s="67"/>
      <c r="L770" s="67"/>
      <c r="M770" s="67"/>
      <c r="N770" s="67"/>
    </row>
    <row r="771">
      <c r="A771" s="397"/>
      <c r="B771" s="305"/>
      <c r="C771" s="305"/>
      <c r="D771" s="305"/>
      <c r="E771" s="305"/>
      <c r="F771" s="398"/>
      <c r="G771" s="398"/>
      <c r="H771" s="398"/>
      <c r="I771" s="398"/>
      <c r="K771" s="67"/>
      <c r="L771" s="67"/>
      <c r="M771" s="67"/>
      <c r="N771" s="67"/>
    </row>
    <row r="772">
      <c r="A772" s="397"/>
      <c r="B772" s="305"/>
      <c r="C772" s="305"/>
      <c r="D772" s="305"/>
      <c r="E772" s="305"/>
      <c r="F772" s="398"/>
      <c r="G772" s="398"/>
      <c r="H772" s="398"/>
      <c r="I772" s="398"/>
      <c r="K772" s="67"/>
      <c r="L772" s="67"/>
      <c r="M772" s="67"/>
      <c r="N772" s="67"/>
    </row>
    <row r="773">
      <c r="A773" s="397"/>
      <c r="B773" s="305"/>
      <c r="C773" s="305"/>
      <c r="D773" s="305"/>
      <c r="E773" s="305"/>
      <c r="F773" s="398"/>
      <c r="G773" s="398"/>
      <c r="H773" s="398"/>
      <c r="I773" s="398"/>
      <c r="K773" s="67"/>
      <c r="L773" s="67"/>
      <c r="M773" s="67"/>
      <c r="N773" s="67"/>
    </row>
    <row r="774">
      <c r="A774" s="397"/>
      <c r="B774" s="305"/>
      <c r="C774" s="305"/>
      <c r="D774" s="305"/>
      <c r="E774" s="305"/>
      <c r="F774" s="398"/>
      <c r="G774" s="398"/>
      <c r="H774" s="398"/>
      <c r="I774" s="398"/>
      <c r="K774" s="67"/>
      <c r="L774" s="67"/>
      <c r="M774" s="67"/>
      <c r="N774" s="67"/>
    </row>
    <row r="775">
      <c r="A775" s="397"/>
      <c r="B775" s="305"/>
      <c r="C775" s="305"/>
      <c r="D775" s="305"/>
      <c r="E775" s="305"/>
      <c r="F775" s="398"/>
      <c r="G775" s="398"/>
      <c r="H775" s="398"/>
      <c r="I775" s="398"/>
      <c r="K775" s="67"/>
      <c r="L775" s="67"/>
      <c r="M775" s="67"/>
      <c r="N775" s="67"/>
    </row>
    <row r="776">
      <c r="A776" s="397"/>
      <c r="B776" s="305"/>
      <c r="C776" s="305"/>
      <c r="D776" s="305"/>
      <c r="E776" s="305"/>
      <c r="F776" s="398"/>
      <c r="G776" s="398"/>
      <c r="H776" s="398"/>
      <c r="I776" s="398"/>
      <c r="K776" s="67"/>
      <c r="L776" s="67"/>
      <c r="M776" s="67"/>
      <c r="N776" s="67"/>
    </row>
    <row r="777">
      <c r="A777" s="397"/>
      <c r="B777" s="305"/>
      <c r="C777" s="305"/>
      <c r="D777" s="305"/>
      <c r="E777" s="305"/>
      <c r="F777" s="398"/>
      <c r="G777" s="398"/>
      <c r="H777" s="398"/>
      <c r="I777" s="398"/>
      <c r="K777" s="67"/>
      <c r="L777" s="67"/>
      <c r="M777" s="67"/>
      <c r="N777" s="67"/>
    </row>
    <row r="778">
      <c r="A778" s="397"/>
      <c r="B778" s="305"/>
      <c r="C778" s="305"/>
      <c r="D778" s="305"/>
      <c r="E778" s="305"/>
      <c r="F778" s="398"/>
      <c r="G778" s="398"/>
      <c r="H778" s="398"/>
      <c r="I778" s="398"/>
      <c r="K778" s="67"/>
      <c r="L778" s="67"/>
      <c r="M778" s="67"/>
      <c r="N778" s="67"/>
    </row>
    <row r="779">
      <c r="A779" s="397"/>
      <c r="B779" s="305"/>
      <c r="C779" s="305"/>
      <c r="D779" s="305"/>
      <c r="E779" s="305"/>
      <c r="F779" s="398"/>
      <c r="G779" s="398"/>
      <c r="H779" s="398"/>
      <c r="I779" s="398"/>
      <c r="K779" s="67"/>
      <c r="L779" s="67"/>
      <c r="M779" s="67"/>
      <c r="N779" s="67"/>
    </row>
    <row r="780">
      <c r="A780" s="397"/>
      <c r="B780" s="305"/>
      <c r="C780" s="305"/>
      <c r="D780" s="305"/>
      <c r="E780" s="305"/>
      <c r="F780" s="398"/>
      <c r="G780" s="398"/>
      <c r="H780" s="398"/>
      <c r="I780" s="398"/>
      <c r="K780" s="67"/>
      <c r="L780" s="67"/>
      <c r="M780" s="67"/>
      <c r="N780" s="67"/>
    </row>
    <row r="781">
      <c r="A781" s="397"/>
      <c r="B781" s="305"/>
      <c r="C781" s="305"/>
      <c r="D781" s="305"/>
      <c r="E781" s="305"/>
      <c r="F781" s="398"/>
      <c r="G781" s="398"/>
      <c r="H781" s="398"/>
      <c r="I781" s="398"/>
      <c r="K781" s="67"/>
      <c r="L781" s="67"/>
      <c r="M781" s="67"/>
      <c r="N781" s="67"/>
    </row>
    <row r="782">
      <c r="A782" s="397"/>
      <c r="B782" s="305"/>
      <c r="C782" s="305"/>
      <c r="D782" s="305"/>
      <c r="E782" s="305"/>
      <c r="F782" s="398"/>
      <c r="G782" s="398"/>
      <c r="H782" s="398"/>
      <c r="I782" s="398"/>
      <c r="K782" s="67"/>
      <c r="L782" s="67"/>
      <c r="M782" s="67"/>
      <c r="N782" s="67"/>
    </row>
    <row r="783">
      <c r="A783" s="397"/>
      <c r="B783" s="305"/>
      <c r="C783" s="305"/>
      <c r="D783" s="305"/>
      <c r="E783" s="305"/>
      <c r="F783" s="398"/>
      <c r="G783" s="398"/>
      <c r="H783" s="398"/>
      <c r="I783" s="398"/>
      <c r="K783" s="67"/>
      <c r="L783" s="67"/>
      <c r="M783" s="67"/>
      <c r="N783" s="67"/>
    </row>
    <row r="784">
      <c r="A784" s="397"/>
      <c r="B784" s="305"/>
      <c r="C784" s="305"/>
      <c r="D784" s="305"/>
      <c r="E784" s="305"/>
      <c r="F784" s="398"/>
      <c r="G784" s="398"/>
      <c r="H784" s="398"/>
      <c r="I784" s="398"/>
      <c r="K784" s="67"/>
      <c r="L784" s="67"/>
      <c r="M784" s="67"/>
      <c r="N784" s="67"/>
    </row>
    <row r="785">
      <c r="A785" s="397"/>
      <c r="B785" s="305"/>
      <c r="C785" s="305"/>
      <c r="D785" s="305"/>
      <c r="E785" s="305"/>
      <c r="F785" s="398"/>
      <c r="G785" s="398"/>
      <c r="H785" s="398"/>
      <c r="I785" s="398"/>
      <c r="K785" s="67"/>
      <c r="L785" s="67"/>
      <c r="M785" s="67"/>
      <c r="N785" s="67"/>
    </row>
    <row r="786">
      <c r="A786" s="397"/>
      <c r="B786" s="305"/>
      <c r="C786" s="305"/>
      <c r="D786" s="305"/>
      <c r="E786" s="305"/>
      <c r="F786" s="398"/>
      <c r="G786" s="398"/>
      <c r="H786" s="398"/>
      <c r="I786" s="398"/>
      <c r="K786" s="67"/>
      <c r="L786" s="67"/>
      <c r="M786" s="67"/>
      <c r="N786" s="67"/>
    </row>
    <row r="787">
      <c r="A787" s="397"/>
      <c r="B787" s="305"/>
      <c r="C787" s="305"/>
      <c r="D787" s="305"/>
      <c r="E787" s="305"/>
      <c r="F787" s="398"/>
      <c r="G787" s="398"/>
      <c r="H787" s="398"/>
      <c r="I787" s="398"/>
      <c r="K787" s="67"/>
      <c r="L787" s="67"/>
      <c r="M787" s="67"/>
      <c r="N787" s="67"/>
    </row>
    <row r="788">
      <c r="A788" s="397"/>
      <c r="B788" s="305"/>
      <c r="C788" s="305"/>
      <c r="D788" s="305"/>
      <c r="E788" s="305"/>
      <c r="F788" s="398"/>
      <c r="G788" s="398"/>
      <c r="H788" s="398"/>
      <c r="I788" s="398"/>
      <c r="K788" s="67"/>
      <c r="L788" s="67"/>
      <c r="M788" s="67"/>
      <c r="N788" s="67"/>
    </row>
    <row r="789">
      <c r="A789" s="397"/>
      <c r="B789" s="305"/>
      <c r="C789" s="305"/>
      <c r="D789" s="305"/>
      <c r="E789" s="305"/>
      <c r="F789" s="398"/>
      <c r="G789" s="398"/>
      <c r="H789" s="398"/>
      <c r="I789" s="398"/>
      <c r="K789" s="67"/>
      <c r="L789" s="67"/>
      <c r="M789" s="67"/>
      <c r="N789" s="67"/>
    </row>
    <row r="790">
      <c r="A790" s="397"/>
      <c r="B790" s="305"/>
      <c r="C790" s="305"/>
      <c r="D790" s="305"/>
      <c r="E790" s="305"/>
      <c r="F790" s="398"/>
      <c r="G790" s="398"/>
      <c r="H790" s="398"/>
      <c r="I790" s="398"/>
      <c r="K790" s="67"/>
      <c r="L790" s="67"/>
      <c r="M790" s="67"/>
      <c r="N790" s="67"/>
    </row>
    <row r="791">
      <c r="A791" s="397"/>
      <c r="B791" s="305"/>
      <c r="C791" s="305"/>
      <c r="D791" s="305"/>
      <c r="E791" s="305"/>
      <c r="F791" s="398"/>
      <c r="G791" s="398"/>
      <c r="H791" s="398"/>
      <c r="I791" s="398"/>
      <c r="K791" s="67"/>
      <c r="L791" s="67"/>
      <c r="M791" s="67"/>
      <c r="N791" s="67"/>
    </row>
    <row r="792">
      <c r="A792" s="397"/>
      <c r="B792" s="305"/>
      <c r="C792" s="305"/>
      <c r="D792" s="305"/>
      <c r="E792" s="305"/>
      <c r="F792" s="398"/>
      <c r="G792" s="398"/>
      <c r="H792" s="398"/>
      <c r="I792" s="398"/>
      <c r="K792" s="67"/>
      <c r="L792" s="67"/>
      <c r="M792" s="67"/>
      <c r="N792" s="67"/>
    </row>
    <row r="793">
      <c r="A793" s="397"/>
      <c r="B793" s="305"/>
      <c r="C793" s="305"/>
      <c r="D793" s="305"/>
      <c r="E793" s="305"/>
      <c r="F793" s="398"/>
      <c r="G793" s="398"/>
      <c r="H793" s="398"/>
      <c r="I793" s="398"/>
      <c r="K793" s="67"/>
      <c r="L793" s="67"/>
      <c r="M793" s="67"/>
      <c r="N793" s="67"/>
    </row>
    <row r="794">
      <c r="A794" s="397"/>
      <c r="B794" s="305"/>
      <c r="C794" s="305"/>
      <c r="D794" s="305"/>
      <c r="E794" s="305"/>
      <c r="F794" s="398"/>
      <c r="G794" s="398"/>
      <c r="H794" s="398"/>
      <c r="I794" s="398"/>
      <c r="K794" s="67"/>
      <c r="L794" s="67"/>
      <c r="M794" s="67"/>
      <c r="N794" s="67"/>
    </row>
    <row r="795">
      <c r="A795" s="397"/>
      <c r="B795" s="305"/>
      <c r="C795" s="305"/>
      <c r="D795" s="305"/>
      <c r="E795" s="305"/>
      <c r="F795" s="398"/>
      <c r="G795" s="398"/>
      <c r="H795" s="398"/>
      <c r="I795" s="398"/>
      <c r="K795" s="67"/>
      <c r="L795" s="67"/>
      <c r="M795" s="67"/>
      <c r="N795" s="67"/>
    </row>
    <row r="796">
      <c r="A796" s="397"/>
      <c r="B796" s="305"/>
      <c r="C796" s="305"/>
      <c r="D796" s="305"/>
      <c r="E796" s="305"/>
      <c r="F796" s="398"/>
      <c r="G796" s="398"/>
      <c r="H796" s="398"/>
      <c r="I796" s="398"/>
      <c r="K796" s="67"/>
      <c r="L796" s="67"/>
      <c r="M796" s="67"/>
      <c r="N796" s="67"/>
    </row>
    <row r="797">
      <c r="A797" s="397"/>
      <c r="B797" s="305"/>
      <c r="C797" s="305"/>
      <c r="D797" s="305"/>
      <c r="E797" s="305"/>
      <c r="F797" s="398"/>
      <c r="G797" s="398"/>
      <c r="H797" s="398"/>
      <c r="I797" s="398"/>
      <c r="K797" s="67"/>
      <c r="L797" s="67"/>
      <c r="M797" s="67"/>
      <c r="N797" s="67"/>
    </row>
    <row r="798">
      <c r="A798" s="397"/>
      <c r="B798" s="305"/>
      <c r="C798" s="305"/>
      <c r="D798" s="305"/>
      <c r="E798" s="305"/>
      <c r="F798" s="398"/>
      <c r="G798" s="398"/>
      <c r="H798" s="398"/>
      <c r="I798" s="398"/>
      <c r="K798" s="67"/>
      <c r="L798" s="67"/>
      <c r="M798" s="67"/>
      <c r="N798" s="67"/>
    </row>
    <row r="799">
      <c r="A799" s="397"/>
      <c r="B799" s="305"/>
      <c r="C799" s="305"/>
      <c r="D799" s="305"/>
      <c r="E799" s="305"/>
      <c r="F799" s="398"/>
      <c r="G799" s="398"/>
      <c r="H799" s="398"/>
      <c r="I799" s="398"/>
      <c r="K799" s="67"/>
      <c r="L799" s="67"/>
      <c r="M799" s="67"/>
      <c r="N799" s="67"/>
    </row>
    <row r="800">
      <c r="A800" s="397"/>
      <c r="B800" s="305"/>
      <c r="C800" s="305"/>
      <c r="D800" s="305"/>
      <c r="E800" s="305"/>
      <c r="F800" s="398"/>
      <c r="G800" s="398"/>
      <c r="H800" s="398"/>
      <c r="I800" s="398"/>
      <c r="K800" s="67"/>
      <c r="L800" s="67"/>
      <c r="M800" s="67"/>
      <c r="N800" s="67"/>
    </row>
    <row r="801">
      <c r="A801" s="397"/>
      <c r="B801" s="305"/>
      <c r="C801" s="305"/>
      <c r="D801" s="305"/>
      <c r="E801" s="305"/>
      <c r="F801" s="398"/>
      <c r="G801" s="398"/>
      <c r="H801" s="398"/>
      <c r="I801" s="398"/>
      <c r="K801" s="67"/>
      <c r="L801" s="67"/>
      <c r="M801" s="67"/>
      <c r="N801" s="67"/>
    </row>
    <row r="802">
      <c r="A802" s="397"/>
      <c r="B802" s="305"/>
      <c r="C802" s="305"/>
      <c r="D802" s="305"/>
      <c r="E802" s="305"/>
      <c r="F802" s="398"/>
      <c r="G802" s="398"/>
      <c r="H802" s="398"/>
      <c r="I802" s="398"/>
      <c r="K802" s="67"/>
      <c r="L802" s="67"/>
      <c r="M802" s="67"/>
      <c r="N802" s="67"/>
    </row>
    <row r="803">
      <c r="A803" s="397"/>
      <c r="B803" s="305"/>
      <c r="C803" s="305"/>
      <c r="D803" s="305"/>
      <c r="E803" s="305"/>
      <c r="F803" s="398"/>
      <c r="G803" s="398"/>
      <c r="H803" s="398"/>
      <c r="I803" s="398"/>
      <c r="K803" s="67"/>
      <c r="L803" s="67"/>
      <c r="M803" s="67"/>
      <c r="N803" s="67"/>
    </row>
    <row r="804">
      <c r="A804" s="397"/>
      <c r="B804" s="305"/>
      <c r="C804" s="305"/>
      <c r="D804" s="305"/>
      <c r="E804" s="305"/>
      <c r="F804" s="398"/>
      <c r="G804" s="398"/>
      <c r="H804" s="398"/>
      <c r="I804" s="398"/>
      <c r="K804" s="67"/>
      <c r="L804" s="67"/>
      <c r="M804" s="67"/>
      <c r="N804" s="67"/>
    </row>
    <row r="805">
      <c r="A805" s="397"/>
      <c r="B805" s="305"/>
      <c r="C805" s="305"/>
      <c r="D805" s="305"/>
      <c r="E805" s="305"/>
      <c r="F805" s="398"/>
      <c r="G805" s="398"/>
      <c r="H805" s="398"/>
      <c r="I805" s="398"/>
      <c r="K805" s="67"/>
      <c r="L805" s="67"/>
      <c r="M805" s="67"/>
      <c r="N805" s="67"/>
    </row>
    <row r="806">
      <c r="A806" s="397"/>
      <c r="B806" s="305"/>
      <c r="C806" s="305"/>
      <c r="D806" s="305"/>
      <c r="E806" s="305"/>
      <c r="F806" s="398"/>
      <c r="G806" s="398"/>
      <c r="H806" s="398"/>
      <c r="I806" s="398"/>
      <c r="K806" s="67"/>
      <c r="L806" s="67"/>
      <c r="M806" s="67"/>
      <c r="N806" s="67"/>
    </row>
    <row r="807">
      <c r="A807" s="397"/>
      <c r="B807" s="305"/>
      <c r="C807" s="305"/>
      <c r="D807" s="305"/>
      <c r="E807" s="305"/>
      <c r="F807" s="398"/>
      <c r="G807" s="398"/>
      <c r="H807" s="398"/>
      <c r="I807" s="398"/>
      <c r="K807" s="67"/>
      <c r="L807" s="67"/>
      <c r="M807" s="67"/>
      <c r="N807" s="67"/>
    </row>
    <row r="808">
      <c r="A808" s="397"/>
      <c r="B808" s="305"/>
      <c r="C808" s="305"/>
      <c r="D808" s="305"/>
      <c r="E808" s="305"/>
      <c r="F808" s="398"/>
      <c r="G808" s="398"/>
      <c r="H808" s="398"/>
      <c r="I808" s="398"/>
      <c r="K808" s="67"/>
      <c r="L808" s="67"/>
      <c r="M808" s="67"/>
      <c r="N808" s="67"/>
    </row>
    <row r="809">
      <c r="A809" s="397"/>
      <c r="B809" s="305"/>
      <c r="C809" s="305"/>
      <c r="D809" s="305"/>
      <c r="E809" s="305"/>
      <c r="F809" s="398"/>
      <c r="G809" s="398"/>
      <c r="H809" s="398"/>
      <c r="I809" s="398"/>
      <c r="K809" s="67"/>
      <c r="L809" s="67"/>
      <c r="M809" s="67"/>
      <c r="N809" s="67"/>
    </row>
    <row r="810">
      <c r="A810" s="397"/>
      <c r="B810" s="305"/>
      <c r="C810" s="305"/>
      <c r="D810" s="305"/>
      <c r="E810" s="305"/>
      <c r="F810" s="398"/>
      <c r="G810" s="398"/>
      <c r="H810" s="398"/>
      <c r="I810" s="398"/>
      <c r="K810" s="67"/>
      <c r="L810" s="67"/>
      <c r="M810" s="67"/>
      <c r="N810" s="67"/>
    </row>
    <row r="811">
      <c r="A811" s="397"/>
      <c r="B811" s="305"/>
      <c r="C811" s="305"/>
      <c r="D811" s="305"/>
      <c r="E811" s="305"/>
      <c r="F811" s="398"/>
      <c r="G811" s="398"/>
      <c r="H811" s="398"/>
      <c r="I811" s="398"/>
      <c r="K811" s="67"/>
      <c r="L811" s="67"/>
      <c r="M811" s="67"/>
      <c r="N811" s="67"/>
    </row>
    <row r="812">
      <c r="A812" s="397"/>
      <c r="B812" s="305"/>
      <c r="C812" s="305"/>
      <c r="D812" s="305"/>
      <c r="E812" s="305"/>
      <c r="F812" s="398"/>
      <c r="G812" s="398"/>
      <c r="H812" s="398"/>
      <c r="I812" s="398"/>
      <c r="K812" s="67"/>
      <c r="L812" s="67"/>
      <c r="M812" s="67"/>
      <c r="N812" s="67"/>
    </row>
    <row r="813">
      <c r="A813" s="397"/>
      <c r="B813" s="305"/>
      <c r="C813" s="305"/>
      <c r="D813" s="305"/>
      <c r="E813" s="305"/>
      <c r="F813" s="398"/>
      <c r="G813" s="398"/>
      <c r="H813" s="398"/>
      <c r="I813" s="398"/>
      <c r="K813" s="67"/>
      <c r="L813" s="67"/>
      <c r="M813" s="67"/>
      <c r="N813" s="67"/>
    </row>
    <row r="814">
      <c r="A814" s="397"/>
      <c r="B814" s="305"/>
      <c r="C814" s="305"/>
      <c r="D814" s="305"/>
      <c r="E814" s="305"/>
      <c r="F814" s="398"/>
      <c r="G814" s="398"/>
      <c r="H814" s="398"/>
      <c r="I814" s="398"/>
      <c r="K814" s="67"/>
      <c r="L814" s="67"/>
      <c r="M814" s="67"/>
      <c r="N814" s="67"/>
    </row>
    <row r="815">
      <c r="A815" s="397"/>
      <c r="B815" s="305"/>
      <c r="C815" s="305"/>
      <c r="D815" s="305"/>
      <c r="E815" s="305"/>
      <c r="F815" s="398"/>
      <c r="G815" s="398"/>
      <c r="H815" s="398"/>
      <c r="I815" s="398"/>
      <c r="K815" s="67"/>
      <c r="L815" s="67"/>
      <c r="M815" s="67"/>
      <c r="N815" s="67"/>
    </row>
    <row r="816">
      <c r="A816" s="397"/>
      <c r="B816" s="305"/>
      <c r="C816" s="305"/>
      <c r="D816" s="305"/>
      <c r="E816" s="305"/>
      <c r="F816" s="398"/>
      <c r="G816" s="398"/>
      <c r="H816" s="398"/>
      <c r="I816" s="398"/>
      <c r="K816" s="67"/>
      <c r="L816" s="67"/>
      <c r="M816" s="67"/>
      <c r="N816" s="67"/>
    </row>
    <row r="817">
      <c r="A817" s="397"/>
      <c r="B817" s="305"/>
      <c r="C817" s="305"/>
      <c r="D817" s="305"/>
      <c r="E817" s="305"/>
      <c r="F817" s="398"/>
      <c r="G817" s="398"/>
      <c r="H817" s="398"/>
      <c r="I817" s="398"/>
      <c r="K817" s="67"/>
      <c r="L817" s="67"/>
      <c r="M817" s="67"/>
      <c r="N817" s="67"/>
    </row>
    <row r="818">
      <c r="A818" s="397"/>
      <c r="B818" s="305"/>
      <c r="C818" s="305"/>
      <c r="D818" s="305"/>
      <c r="E818" s="305"/>
      <c r="F818" s="398"/>
      <c r="G818" s="398"/>
      <c r="H818" s="398"/>
      <c r="I818" s="398"/>
      <c r="K818" s="67"/>
      <c r="L818" s="67"/>
      <c r="M818" s="67"/>
      <c r="N818" s="67"/>
    </row>
    <row r="819">
      <c r="A819" s="397"/>
      <c r="B819" s="305"/>
      <c r="C819" s="305"/>
      <c r="D819" s="305"/>
      <c r="E819" s="305"/>
      <c r="F819" s="398"/>
      <c r="G819" s="398"/>
      <c r="H819" s="398"/>
      <c r="I819" s="398"/>
      <c r="K819" s="67"/>
      <c r="L819" s="67"/>
      <c r="M819" s="67"/>
      <c r="N819" s="67"/>
    </row>
    <row r="820">
      <c r="A820" s="397"/>
      <c r="B820" s="305"/>
      <c r="C820" s="305"/>
      <c r="D820" s="305"/>
      <c r="E820" s="305"/>
      <c r="F820" s="398"/>
      <c r="G820" s="398"/>
      <c r="H820" s="398"/>
      <c r="I820" s="398"/>
      <c r="K820" s="67"/>
      <c r="L820" s="67"/>
      <c r="M820" s="67"/>
      <c r="N820" s="67"/>
    </row>
    <row r="821">
      <c r="A821" s="397"/>
      <c r="B821" s="305"/>
      <c r="C821" s="305"/>
      <c r="D821" s="305"/>
      <c r="E821" s="305"/>
      <c r="F821" s="398"/>
      <c r="G821" s="398"/>
      <c r="H821" s="398"/>
      <c r="I821" s="398"/>
      <c r="K821" s="67"/>
      <c r="L821" s="67"/>
      <c r="M821" s="67"/>
      <c r="N821" s="67"/>
    </row>
    <row r="822">
      <c r="A822" s="397"/>
      <c r="B822" s="305"/>
      <c r="C822" s="305"/>
      <c r="D822" s="305"/>
      <c r="E822" s="305"/>
      <c r="F822" s="398"/>
      <c r="G822" s="398"/>
      <c r="H822" s="398"/>
      <c r="I822" s="398"/>
      <c r="K822" s="67"/>
      <c r="L822" s="67"/>
      <c r="M822" s="67"/>
      <c r="N822" s="67"/>
    </row>
    <row r="823">
      <c r="A823" s="397"/>
      <c r="B823" s="305"/>
      <c r="C823" s="305"/>
      <c r="D823" s="305"/>
      <c r="E823" s="305"/>
      <c r="F823" s="398"/>
      <c r="G823" s="398"/>
      <c r="H823" s="398"/>
      <c r="I823" s="398"/>
      <c r="K823" s="67"/>
      <c r="L823" s="67"/>
      <c r="M823" s="67"/>
      <c r="N823" s="67"/>
    </row>
    <row r="824">
      <c r="A824" s="397"/>
      <c r="B824" s="305"/>
      <c r="C824" s="305"/>
      <c r="D824" s="305"/>
      <c r="E824" s="305"/>
      <c r="F824" s="398"/>
      <c r="G824" s="398"/>
      <c r="H824" s="398"/>
      <c r="I824" s="398"/>
      <c r="K824" s="67"/>
      <c r="L824" s="67"/>
      <c r="M824" s="67"/>
      <c r="N824" s="67"/>
    </row>
    <row r="825">
      <c r="A825" s="397"/>
      <c r="B825" s="305"/>
      <c r="C825" s="305"/>
      <c r="D825" s="305"/>
      <c r="E825" s="305"/>
      <c r="F825" s="398"/>
      <c r="G825" s="398"/>
      <c r="H825" s="398"/>
      <c r="I825" s="398"/>
      <c r="K825" s="67"/>
      <c r="L825" s="67"/>
      <c r="M825" s="67"/>
      <c r="N825" s="67"/>
    </row>
    <row r="826">
      <c r="A826" s="397"/>
      <c r="B826" s="305"/>
      <c r="C826" s="305"/>
      <c r="D826" s="305"/>
      <c r="E826" s="305"/>
      <c r="F826" s="398"/>
      <c r="G826" s="398"/>
      <c r="H826" s="398"/>
      <c r="I826" s="398"/>
      <c r="K826" s="67"/>
      <c r="L826" s="67"/>
      <c r="M826" s="67"/>
      <c r="N826" s="67"/>
    </row>
    <row r="827">
      <c r="A827" s="397"/>
      <c r="B827" s="305"/>
      <c r="C827" s="305"/>
      <c r="D827" s="305"/>
      <c r="E827" s="305"/>
      <c r="F827" s="398"/>
      <c r="G827" s="398"/>
      <c r="H827" s="398"/>
      <c r="I827" s="398"/>
      <c r="K827" s="67"/>
      <c r="L827" s="67"/>
      <c r="M827" s="67"/>
      <c r="N827" s="67"/>
    </row>
    <row r="828">
      <c r="A828" s="397"/>
      <c r="B828" s="305"/>
      <c r="C828" s="305"/>
      <c r="D828" s="305"/>
      <c r="E828" s="305"/>
      <c r="F828" s="398"/>
      <c r="G828" s="398"/>
      <c r="H828" s="398"/>
      <c r="I828" s="398"/>
      <c r="K828" s="67"/>
      <c r="L828" s="67"/>
      <c r="M828" s="67"/>
      <c r="N828" s="67"/>
    </row>
    <row r="829">
      <c r="A829" s="397"/>
      <c r="B829" s="305"/>
      <c r="C829" s="305"/>
      <c r="D829" s="305"/>
      <c r="E829" s="305"/>
      <c r="F829" s="398"/>
      <c r="G829" s="398"/>
      <c r="H829" s="398"/>
      <c r="I829" s="398"/>
      <c r="K829" s="67"/>
      <c r="L829" s="67"/>
      <c r="M829" s="67"/>
      <c r="N829" s="67"/>
    </row>
    <row r="830">
      <c r="A830" s="397"/>
      <c r="B830" s="305"/>
      <c r="C830" s="305"/>
      <c r="D830" s="305"/>
      <c r="E830" s="305"/>
      <c r="F830" s="398"/>
      <c r="G830" s="398"/>
      <c r="H830" s="398"/>
      <c r="I830" s="398"/>
      <c r="K830" s="67"/>
      <c r="L830" s="67"/>
      <c r="M830" s="67"/>
      <c r="N830" s="67"/>
    </row>
    <row r="831">
      <c r="A831" s="397"/>
      <c r="B831" s="305"/>
      <c r="C831" s="305"/>
      <c r="D831" s="305"/>
      <c r="E831" s="305"/>
      <c r="F831" s="398"/>
      <c r="G831" s="398"/>
      <c r="H831" s="398"/>
      <c r="I831" s="398"/>
      <c r="K831" s="67"/>
      <c r="L831" s="67"/>
      <c r="M831" s="67"/>
      <c r="N831" s="67"/>
    </row>
    <row r="832">
      <c r="A832" s="397"/>
      <c r="B832" s="305"/>
      <c r="C832" s="305"/>
      <c r="D832" s="305"/>
      <c r="E832" s="305"/>
      <c r="F832" s="398"/>
      <c r="G832" s="398"/>
      <c r="H832" s="398"/>
      <c r="I832" s="398"/>
      <c r="K832" s="67"/>
      <c r="L832" s="67"/>
      <c r="M832" s="67"/>
      <c r="N832" s="67"/>
    </row>
    <row r="833">
      <c r="A833" s="397"/>
      <c r="B833" s="305"/>
      <c r="C833" s="305"/>
      <c r="D833" s="305"/>
      <c r="E833" s="305"/>
      <c r="F833" s="398"/>
      <c r="G833" s="398"/>
      <c r="H833" s="398"/>
      <c r="I833" s="398"/>
      <c r="K833" s="67"/>
      <c r="L833" s="67"/>
      <c r="M833" s="67"/>
      <c r="N833" s="67"/>
    </row>
    <row r="834">
      <c r="A834" s="397"/>
      <c r="B834" s="305"/>
      <c r="C834" s="305"/>
      <c r="D834" s="305"/>
      <c r="E834" s="305"/>
      <c r="F834" s="398"/>
      <c r="G834" s="398"/>
      <c r="H834" s="398"/>
      <c r="I834" s="398"/>
      <c r="K834" s="67"/>
      <c r="L834" s="67"/>
      <c r="M834" s="67"/>
      <c r="N834" s="67"/>
    </row>
    <row r="835">
      <c r="A835" s="397"/>
      <c r="B835" s="305"/>
      <c r="C835" s="305"/>
      <c r="D835" s="305"/>
      <c r="E835" s="305"/>
      <c r="F835" s="398"/>
      <c r="G835" s="398"/>
      <c r="H835" s="398"/>
      <c r="I835" s="398"/>
      <c r="K835" s="67"/>
      <c r="L835" s="67"/>
      <c r="M835" s="67"/>
      <c r="N835" s="67"/>
    </row>
    <row r="836">
      <c r="A836" s="397"/>
      <c r="B836" s="305"/>
      <c r="C836" s="305"/>
      <c r="D836" s="305"/>
      <c r="E836" s="305"/>
      <c r="F836" s="398"/>
      <c r="G836" s="398"/>
      <c r="H836" s="398"/>
      <c r="I836" s="398"/>
      <c r="K836" s="67"/>
      <c r="L836" s="67"/>
      <c r="M836" s="67"/>
      <c r="N836" s="67"/>
    </row>
    <row r="837">
      <c r="A837" s="397"/>
      <c r="B837" s="305"/>
      <c r="C837" s="305"/>
      <c r="D837" s="305"/>
      <c r="E837" s="305"/>
      <c r="F837" s="398"/>
      <c r="G837" s="398"/>
      <c r="H837" s="398"/>
      <c r="I837" s="398"/>
      <c r="K837" s="67"/>
      <c r="L837" s="67"/>
      <c r="M837" s="67"/>
      <c r="N837" s="67"/>
    </row>
    <row r="838">
      <c r="A838" s="397"/>
      <c r="B838" s="305"/>
      <c r="C838" s="305"/>
      <c r="D838" s="305"/>
      <c r="E838" s="305"/>
      <c r="F838" s="398"/>
      <c r="G838" s="398"/>
      <c r="H838" s="398"/>
      <c r="I838" s="398"/>
      <c r="K838" s="67"/>
      <c r="L838" s="67"/>
      <c r="M838" s="67"/>
      <c r="N838" s="67"/>
    </row>
    <row r="839">
      <c r="A839" s="397"/>
      <c r="B839" s="305"/>
      <c r="C839" s="305"/>
      <c r="D839" s="305"/>
      <c r="E839" s="305"/>
      <c r="F839" s="398"/>
      <c r="G839" s="398"/>
      <c r="H839" s="398"/>
      <c r="I839" s="398"/>
      <c r="K839" s="67"/>
      <c r="L839" s="67"/>
      <c r="M839" s="67"/>
      <c r="N839" s="67"/>
    </row>
    <row r="840">
      <c r="A840" s="397"/>
      <c r="B840" s="305"/>
      <c r="C840" s="305"/>
      <c r="D840" s="305"/>
      <c r="E840" s="305"/>
      <c r="F840" s="398"/>
      <c r="G840" s="398"/>
      <c r="H840" s="398"/>
      <c r="I840" s="398"/>
      <c r="K840" s="67"/>
      <c r="L840" s="67"/>
      <c r="M840" s="67"/>
      <c r="N840" s="67"/>
    </row>
    <row r="841">
      <c r="A841" s="397"/>
      <c r="B841" s="305"/>
      <c r="C841" s="305"/>
      <c r="D841" s="305"/>
      <c r="E841" s="305"/>
      <c r="F841" s="398"/>
      <c r="G841" s="398"/>
      <c r="H841" s="398"/>
      <c r="I841" s="398"/>
      <c r="K841" s="67"/>
      <c r="L841" s="67"/>
      <c r="M841" s="67"/>
      <c r="N841" s="67"/>
    </row>
    <row r="842">
      <c r="A842" s="397"/>
      <c r="B842" s="305"/>
      <c r="C842" s="305"/>
      <c r="D842" s="305"/>
      <c r="E842" s="305"/>
      <c r="F842" s="398"/>
      <c r="G842" s="398"/>
      <c r="H842" s="398"/>
      <c r="I842" s="398"/>
      <c r="K842" s="67"/>
      <c r="L842" s="67"/>
      <c r="M842" s="67"/>
      <c r="N842" s="67"/>
    </row>
    <row r="843">
      <c r="A843" s="397"/>
      <c r="B843" s="305"/>
      <c r="C843" s="305"/>
      <c r="D843" s="305"/>
      <c r="E843" s="305"/>
      <c r="F843" s="398"/>
      <c r="G843" s="398"/>
      <c r="H843" s="398"/>
      <c r="I843" s="398"/>
      <c r="K843" s="67"/>
      <c r="L843" s="67"/>
      <c r="M843" s="67"/>
      <c r="N843" s="67"/>
    </row>
    <row r="844">
      <c r="A844" s="397"/>
      <c r="B844" s="305"/>
      <c r="C844" s="305"/>
      <c r="D844" s="305"/>
      <c r="E844" s="305"/>
      <c r="F844" s="398"/>
      <c r="G844" s="398"/>
      <c r="H844" s="398"/>
      <c r="I844" s="398"/>
      <c r="K844" s="67"/>
      <c r="L844" s="67"/>
      <c r="M844" s="67"/>
      <c r="N844" s="67"/>
    </row>
    <row r="845">
      <c r="A845" s="397"/>
      <c r="B845" s="305"/>
      <c r="C845" s="305"/>
      <c r="D845" s="305"/>
      <c r="E845" s="305"/>
      <c r="F845" s="398"/>
      <c r="G845" s="398"/>
      <c r="H845" s="398"/>
      <c r="I845" s="398"/>
      <c r="K845" s="67"/>
      <c r="L845" s="67"/>
      <c r="M845" s="67"/>
      <c r="N845" s="67"/>
    </row>
    <row r="846">
      <c r="A846" s="397"/>
      <c r="B846" s="305"/>
      <c r="C846" s="305"/>
      <c r="D846" s="305"/>
      <c r="E846" s="305"/>
      <c r="F846" s="398"/>
      <c r="G846" s="398"/>
      <c r="H846" s="398"/>
      <c r="I846" s="398"/>
      <c r="K846" s="67"/>
      <c r="L846" s="67"/>
      <c r="M846" s="67"/>
      <c r="N846" s="67"/>
    </row>
    <row r="847">
      <c r="A847" s="397"/>
      <c r="B847" s="305"/>
      <c r="C847" s="305"/>
      <c r="D847" s="305"/>
      <c r="E847" s="305"/>
      <c r="F847" s="398"/>
      <c r="G847" s="398"/>
      <c r="H847" s="398"/>
      <c r="I847" s="398"/>
      <c r="K847" s="67"/>
      <c r="L847" s="67"/>
      <c r="M847" s="67"/>
      <c r="N847" s="67"/>
    </row>
    <row r="848">
      <c r="A848" s="397"/>
      <c r="B848" s="305"/>
      <c r="C848" s="305"/>
      <c r="D848" s="305"/>
      <c r="E848" s="305"/>
      <c r="F848" s="398"/>
      <c r="G848" s="398"/>
      <c r="H848" s="398"/>
      <c r="I848" s="398"/>
      <c r="K848" s="67"/>
      <c r="L848" s="67"/>
      <c r="M848" s="67"/>
      <c r="N848" s="67"/>
    </row>
    <row r="849">
      <c r="A849" s="397"/>
      <c r="B849" s="305"/>
      <c r="C849" s="305"/>
      <c r="D849" s="305"/>
      <c r="E849" s="305"/>
      <c r="F849" s="398"/>
      <c r="G849" s="398"/>
      <c r="H849" s="398"/>
      <c r="I849" s="398"/>
      <c r="K849" s="67"/>
      <c r="L849" s="67"/>
      <c r="M849" s="67"/>
      <c r="N849" s="67"/>
    </row>
    <row r="850">
      <c r="A850" s="397"/>
      <c r="B850" s="305"/>
      <c r="C850" s="305"/>
      <c r="D850" s="305"/>
      <c r="E850" s="305"/>
      <c r="F850" s="398"/>
      <c r="G850" s="398"/>
      <c r="H850" s="398"/>
      <c r="I850" s="398"/>
      <c r="K850" s="67"/>
      <c r="L850" s="67"/>
      <c r="M850" s="67"/>
      <c r="N850" s="67"/>
    </row>
    <row r="851">
      <c r="A851" s="397"/>
      <c r="B851" s="305"/>
      <c r="C851" s="305"/>
      <c r="D851" s="305"/>
      <c r="E851" s="305"/>
      <c r="F851" s="398"/>
      <c r="G851" s="398"/>
      <c r="H851" s="398"/>
      <c r="I851" s="398"/>
      <c r="K851" s="67"/>
      <c r="L851" s="67"/>
      <c r="M851" s="67"/>
      <c r="N851" s="67"/>
    </row>
    <row r="852">
      <c r="A852" s="397"/>
      <c r="B852" s="305"/>
      <c r="C852" s="305"/>
      <c r="D852" s="305"/>
      <c r="E852" s="305"/>
      <c r="F852" s="398"/>
      <c r="G852" s="398"/>
      <c r="H852" s="398"/>
      <c r="I852" s="398"/>
      <c r="K852" s="67"/>
      <c r="L852" s="67"/>
      <c r="M852" s="67"/>
      <c r="N852" s="67"/>
    </row>
    <row r="853">
      <c r="A853" s="397"/>
      <c r="B853" s="305"/>
      <c r="C853" s="305"/>
      <c r="D853" s="305"/>
      <c r="E853" s="305"/>
      <c r="F853" s="398"/>
      <c r="G853" s="398"/>
      <c r="H853" s="398"/>
      <c r="I853" s="398"/>
      <c r="K853" s="67"/>
      <c r="L853" s="67"/>
      <c r="M853" s="67"/>
      <c r="N853" s="67"/>
    </row>
    <row r="854">
      <c r="A854" s="397"/>
      <c r="B854" s="305"/>
      <c r="C854" s="305"/>
      <c r="D854" s="305"/>
      <c r="E854" s="305"/>
      <c r="F854" s="398"/>
      <c r="G854" s="398"/>
      <c r="H854" s="398"/>
      <c r="I854" s="398"/>
      <c r="K854" s="67"/>
      <c r="L854" s="67"/>
      <c r="M854" s="67"/>
      <c r="N854" s="67"/>
    </row>
    <row r="855">
      <c r="A855" s="397"/>
      <c r="B855" s="305"/>
      <c r="C855" s="305"/>
      <c r="D855" s="305"/>
      <c r="E855" s="305"/>
      <c r="F855" s="398"/>
      <c r="G855" s="398"/>
      <c r="H855" s="398"/>
      <c r="I855" s="398"/>
      <c r="K855" s="67"/>
      <c r="L855" s="67"/>
      <c r="M855" s="67"/>
      <c r="N855" s="67"/>
    </row>
    <row r="856">
      <c r="A856" s="397"/>
      <c r="B856" s="305"/>
      <c r="C856" s="305"/>
      <c r="D856" s="305"/>
      <c r="E856" s="305"/>
      <c r="F856" s="398"/>
      <c r="G856" s="398"/>
      <c r="H856" s="398"/>
      <c r="I856" s="398"/>
      <c r="K856" s="67"/>
      <c r="L856" s="67"/>
      <c r="M856" s="67"/>
      <c r="N856" s="67"/>
    </row>
    <row r="857">
      <c r="A857" s="397"/>
      <c r="B857" s="305"/>
      <c r="C857" s="305"/>
      <c r="D857" s="305"/>
      <c r="E857" s="305"/>
      <c r="F857" s="398"/>
      <c r="G857" s="398"/>
      <c r="H857" s="398"/>
      <c r="I857" s="398"/>
      <c r="K857" s="67"/>
      <c r="L857" s="67"/>
      <c r="M857" s="67"/>
      <c r="N857" s="67"/>
    </row>
    <row r="858">
      <c r="A858" s="397"/>
      <c r="B858" s="305"/>
      <c r="C858" s="305"/>
      <c r="D858" s="305"/>
      <c r="E858" s="305"/>
      <c r="F858" s="398"/>
      <c r="G858" s="398"/>
      <c r="H858" s="398"/>
      <c r="I858" s="398"/>
      <c r="K858" s="67"/>
      <c r="L858" s="67"/>
      <c r="M858" s="67"/>
      <c r="N858" s="67"/>
    </row>
    <row r="859">
      <c r="A859" s="397"/>
      <c r="B859" s="305"/>
      <c r="C859" s="305"/>
      <c r="D859" s="305"/>
      <c r="E859" s="305"/>
      <c r="F859" s="398"/>
      <c r="G859" s="398"/>
      <c r="H859" s="398"/>
      <c r="I859" s="398"/>
      <c r="K859" s="67"/>
      <c r="L859" s="67"/>
      <c r="M859" s="67"/>
      <c r="N859" s="67"/>
    </row>
    <row r="860">
      <c r="A860" s="397"/>
      <c r="B860" s="305"/>
      <c r="C860" s="305"/>
      <c r="D860" s="305"/>
      <c r="E860" s="305"/>
      <c r="F860" s="398"/>
      <c r="G860" s="398"/>
      <c r="H860" s="398"/>
      <c r="I860" s="398"/>
      <c r="K860" s="67"/>
      <c r="L860" s="67"/>
      <c r="M860" s="67"/>
      <c r="N860" s="67"/>
    </row>
    <row r="861">
      <c r="A861" s="397"/>
      <c r="B861" s="305"/>
      <c r="C861" s="305"/>
      <c r="D861" s="305"/>
      <c r="E861" s="305"/>
      <c r="F861" s="398"/>
      <c r="G861" s="398"/>
      <c r="H861" s="398"/>
      <c r="I861" s="398"/>
      <c r="K861" s="67"/>
      <c r="L861" s="67"/>
      <c r="M861" s="67"/>
      <c r="N861" s="67"/>
    </row>
    <row r="862">
      <c r="A862" s="397"/>
      <c r="B862" s="305"/>
      <c r="C862" s="305"/>
      <c r="D862" s="305"/>
      <c r="E862" s="305"/>
      <c r="F862" s="398"/>
      <c r="G862" s="398"/>
      <c r="H862" s="398"/>
      <c r="I862" s="398"/>
      <c r="K862" s="67"/>
      <c r="L862" s="67"/>
      <c r="M862" s="67"/>
      <c r="N862" s="67"/>
    </row>
    <row r="863">
      <c r="A863" s="397"/>
      <c r="B863" s="305"/>
      <c r="C863" s="305"/>
      <c r="D863" s="305"/>
      <c r="E863" s="305"/>
      <c r="F863" s="398"/>
      <c r="G863" s="398"/>
      <c r="H863" s="398"/>
      <c r="I863" s="398"/>
      <c r="K863" s="67"/>
      <c r="L863" s="67"/>
      <c r="M863" s="67"/>
      <c r="N863" s="67"/>
    </row>
    <row r="864">
      <c r="A864" s="397"/>
      <c r="B864" s="305"/>
      <c r="C864" s="305"/>
      <c r="D864" s="305"/>
      <c r="E864" s="305"/>
      <c r="F864" s="398"/>
      <c r="G864" s="398"/>
      <c r="H864" s="398"/>
      <c r="I864" s="398"/>
      <c r="K864" s="67"/>
      <c r="L864" s="67"/>
      <c r="M864" s="67"/>
      <c r="N864" s="67"/>
    </row>
    <row r="865">
      <c r="A865" s="397"/>
      <c r="B865" s="305"/>
      <c r="C865" s="305"/>
      <c r="D865" s="305"/>
      <c r="E865" s="305"/>
      <c r="F865" s="398"/>
      <c r="G865" s="398"/>
      <c r="H865" s="398"/>
      <c r="I865" s="398"/>
      <c r="K865" s="67"/>
      <c r="L865" s="67"/>
      <c r="M865" s="67"/>
      <c r="N865" s="67"/>
    </row>
    <row r="866">
      <c r="A866" s="397"/>
      <c r="B866" s="305"/>
      <c r="C866" s="305"/>
      <c r="D866" s="305"/>
      <c r="E866" s="305"/>
      <c r="F866" s="398"/>
      <c r="G866" s="398"/>
      <c r="H866" s="398"/>
      <c r="I866" s="398"/>
      <c r="K866" s="67"/>
      <c r="L866" s="67"/>
      <c r="M866" s="67"/>
      <c r="N866" s="67"/>
    </row>
    <row r="867">
      <c r="A867" s="397"/>
      <c r="B867" s="305"/>
      <c r="C867" s="305"/>
      <c r="D867" s="305"/>
      <c r="E867" s="305"/>
      <c r="F867" s="398"/>
      <c r="G867" s="398"/>
      <c r="H867" s="398"/>
      <c r="I867" s="398"/>
      <c r="K867" s="67"/>
      <c r="L867" s="67"/>
      <c r="M867" s="67"/>
      <c r="N867" s="67"/>
    </row>
    <row r="868">
      <c r="A868" s="397"/>
      <c r="B868" s="305"/>
      <c r="C868" s="305"/>
      <c r="D868" s="305"/>
      <c r="E868" s="305"/>
      <c r="F868" s="398"/>
      <c r="G868" s="398"/>
      <c r="H868" s="398"/>
      <c r="I868" s="398"/>
      <c r="K868" s="67"/>
      <c r="L868" s="67"/>
      <c r="M868" s="67"/>
      <c r="N868" s="67"/>
    </row>
    <row r="869">
      <c r="A869" s="397"/>
      <c r="B869" s="305"/>
      <c r="C869" s="305"/>
      <c r="D869" s="305"/>
      <c r="E869" s="305"/>
      <c r="F869" s="398"/>
      <c r="G869" s="398"/>
      <c r="H869" s="398"/>
      <c r="I869" s="398"/>
      <c r="K869" s="67"/>
      <c r="L869" s="67"/>
      <c r="M869" s="67"/>
      <c r="N869" s="67"/>
    </row>
    <row r="870">
      <c r="A870" s="397"/>
      <c r="B870" s="305"/>
      <c r="C870" s="305"/>
      <c r="D870" s="305"/>
      <c r="E870" s="305"/>
      <c r="F870" s="398"/>
      <c r="G870" s="398"/>
      <c r="H870" s="398"/>
      <c r="I870" s="398"/>
      <c r="K870" s="67"/>
      <c r="L870" s="67"/>
      <c r="M870" s="67"/>
      <c r="N870" s="67"/>
    </row>
    <row r="871">
      <c r="A871" s="397"/>
      <c r="B871" s="305"/>
      <c r="C871" s="305"/>
      <c r="D871" s="305"/>
      <c r="E871" s="305"/>
      <c r="F871" s="398"/>
      <c r="G871" s="398"/>
      <c r="H871" s="398"/>
      <c r="I871" s="398"/>
      <c r="K871" s="67"/>
      <c r="L871" s="67"/>
      <c r="M871" s="67"/>
      <c r="N871" s="67"/>
    </row>
    <row r="872">
      <c r="A872" s="397"/>
      <c r="B872" s="305"/>
      <c r="C872" s="305"/>
      <c r="D872" s="305"/>
      <c r="E872" s="305"/>
      <c r="F872" s="398"/>
      <c r="G872" s="398"/>
      <c r="H872" s="398"/>
      <c r="I872" s="398"/>
      <c r="K872" s="67"/>
      <c r="L872" s="67"/>
      <c r="M872" s="67"/>
      <c r="N872" s="67"/>
    </row>
    <row r="873">
      <c r="A873" s="397"/>
      <c r="B873" s="305"/>
      <c r="C873" s="305"/>
      <c r="D873" s="305"/>
      <c r="E873" s="305"/>
      <c r="F873" s="398"/>
      <c r="G873" s="398"/>
      <c r="H873" s="398"/>
      <c r="I873" s="398"/>
      <c r="K873" s="67"/>
      <c r="L873" s="67"/>
      <c r="M873" s="67"/>
      <c r="N873" s="67"/>
    </row>
    <row r="874">
      <c r="A874" s="397"/>
      <c r="B874" s="305"/>
      <c r="C874" s="305"/>
      <c r="D874" s="305"/>
      <c r="E874" s="305"/>
      <c r="F874" s="398"/>
      <c r="G874" s="398"/>
      <c r="H874" s="398"/>
      <c r="I874" s="398"/>
      <c r="K874" s="67"/>
      <c r="L874" s="67"/>
      <c r="M874" s="67"/>
      <c r="N874" s="67"/>
    </row>
    <row r="875">
      <c r="A875" s="397"/>
      <c r="B875" s="305"/>
      <c r="C875" s="305"/>
      <c r="D875" s="305"/>
      <c r="E875" s="305"/>
      <c r="F875" s="398"/>
      <c r="G875" s="398"/>
      <c r="H875" s="398"/>
      <c r="I875" s="398"/>
      <c r="K875" s="67"/>
      <c r="L875" s="67"/>
      <c r="M875" s="67"/>
      <c r="N875" s="67"/>
    </row>
    <row r="876">
      <c r="A876" s="397"/>
      <c r="B876" s="305"/>
      <c r="C876" s="305"/>
      <c r="D876" s="305"/>
      <c r="E876" s="305"/>
      <c r="F876" s="398"/>
      <c r="G876" s="398"/>
      <c r="H876" s="398"/>
      <c r="I876" s="398"/>
      <c r="K876" s="67"/>
      <c r="L876" s="67"/>
      <c r="M876" s="67"/>
      <c r="N876" s="67"/>
    </row>
    <row r="877">
      <c r="A877" s="397"/>
      <c r="B877" s="305"/>
      <c r="C877" s="305"/>
      <c r="D877" s="305"/>
      <c r="E877" s="305"/>
      <c r="F877" s="398"/>
      <c r="G877" s="398"/>
      <c r="H877" s="398"/>
      <c r="I877" s="398"/>
      <c r="K877" s="67"/>
      <c r="L877" s="67"/>
      <c r="M877" s="67"/>
      <c r="N877" s="67"/>
    </row>
    <row r="878">
      <c r="A878" s="397"/>
      <c r="B878" s="305"/>
      <c r="C878" s="305"/>
      <c r="D878" s="305"/>
      <c r="E878" s="305"/>
      <c r="F878" s="398"/>
      <c r="G878" s="398"/>
      <c r="H878" s="398"/>
      <c r="I878" s="398"/>
      <c r="K878" s="67"/>
      <c r="L878" s="67"/>
      <c r="M878" s="67"/>
      <c r="N878" s="67"/>
    </row>
    <row r="879">
      <c r="A879" s="397"/>
      <c r="B879" s="305"/>
      <c r="C879" s="305"/>
      <c r="D879" s="305"/>
      <c r="E879" s="305"/>
      <c r="F879" s="398"/>
      <c r="G879" s="398"/>
      <c r="H879" s="398"/>
      <c r="I879" s="398"/>
      <c r="K879" s="67"/>
      <c r="L879" s="67"/>
      <c r="M879" s="67"/>
      <c r="N879" s="67"/>
    </row>
    <row r="880">
      <c r="A880" s="397"/>
      <c r="B880" s="305"/>
      <c r="C880" s="305"/>
      <c r="D880" s="305"/>
      <c r="E880" s="305"/>
      <c r="F880" s="398"/>
      <c r="G880" s="398"/>
      <c r="H880" s="398"/>
      <c r="I880" s="398"/>
      <c r="K880" s="67"/>
      <c r="L880" s="67"/>
      <c r="M880" s="67"/>
      <c r="N880" s="67"/>
    </row>
    <row r="881">
      <c r="A881" s="397"/>
      <c r="B881" s="305"/>
      <c r="C881" s="305"/>
      <c r="D881" s="305"/>
      <c r="E881" s="305"/>
      <c r="F881" s="398"/>
      <c r="G881" s="398"/>
      <c r="H881" s="398"/>
      <c r="I881" s="398"/>
      <c r="K881" s="67"/>
      <c r="L881" s="67"/>
      <c r="M881" s="67"/>
      <c r="N881" s="67"/>
    </row>
    <row r="882">
      <c r="A882" s="397"/>
      <c r="B882" s="305"/>
      <c r="C882" s="305"/>
      <c r="D882" s="305"/>
      <c r="E882" s="305"/>
      <c r="F882" s="398"/>
      <c r="G882" s="398"/>
      <c r="H882" s="398"/>
      <c r="I882" s="398"/>
      <c r="K882" s="67"/>
      <c r="L882" s="67"/>
      <c r="M882" s="67"/>
      <c r="N882" s="67"/>
    </row>
    <row r="883">
      <c r="A883" s="397"/>
      <c r="B883" s="305"/>
      <c r="C883" s="305"/>
      <c r="D883" s="305"/>
      <c r="E883" s="305"/>
      <c r="F883" s="398"/>
      <c r="G883" s="398"/>
      <c r="H883" s="398"/>
      <c r="I883" s="398"/>
      <c r="K883" s="67"/>
      <c r="L883" s="67"/>
      <c r="M883" s="67"/>
      <c r="N883" s="67"/>
    </row>
    <row r="884">
      <c r="A884" s="397"/>
      <c r="B884" s="305"/>
      <c r="C884" s="305"/>
      <c r="D884" s="305"/>
      <c r="E884" s="305"/>
      <c r="F884" s="398"/>
      <c r="G884" s="398"/>
      <c r="H884" s="398"/>
      <c r="I884" s="398"/>
      <c r="K884" s="67"/>
      <c r="L884" s="67"/>
      <c r="M884" s="67"/>
      <c r="N884" s="67"/>
    </row>
    <row r="885">
      <c r="A885" s="397"/>
      <c r="B885" s="305"/>
      <c r="C885" s="305"/>
      <c r="D885" s="305"/>
      <c r="E885" s="305"/>
      <c r="F885" s="398"/>
      <c r="G885" s="398"/>
      <c r="H885" s="398"/>
      <c r="I885" s="398"/>
      <c r="K885" s="67"/>
      <c r="L885" s="67"/>
      <c r="M885" s="67"/>
      <c r="N885" s="67"/>
    </row>
    <row r="886">
      <c r="A886" s="397"/>
      <c r="B886" s="305"/>
      <c r="C886" s="305"/>
      <c r="D886" s="305"/>
      <c r="E886" s="305"/>
      <c r="F886" s="398"/>
      <c r="G886" s="398"/>
      <c r="H886" s="398"/>
      <c r="I886" s="398"/>
      <c r="K886" s="67"/>
      <c r="L886" s="67"/>
      <c r="M886" s="67"/>
      <c r="N886" s="67"/>
    </row>
    <row r="887">
      <c r="A887" s="397"/>
      <c r="B887" s="305"/>
      <c r="C887" s="305"/>
      <c r="D887" s="305"/>
      <c r="E887" s="305"/>
      <c r="F887" s="398"/>
      <c r="G887" s="398"/>
      <c r="H887" s="398"/>
      <c r="I887" s="398"/>
      <c r="K887" s="67"/>
      <c r="L887" s="67"/>
      <c r="M887" s="67"/>
      <c r="N887" s="67"/>
    </row>
    <row r="888">
      <c r="A888" s="397"/>
      <c r="B888" s="305"/>
      <c r="C888" s="305"/>
      <c r="D888" s="305"/>
      <c r="E888" s="305"/>
      <c r="F888" s="398"/>
      <c r="G888" s="398"/>
      <c r="H888" s="398"/>
      <c r="I888" s="398"/>
      <c r="K888" s="67"/>
      <c r="L888" s="67"/>
      <c r="M888" s="67"/>
      <c r="N888" s="67"/>
    </row>
    <row r="889">
      <c r="A889" s="397"/>
      <c r="B889" s="305"/>
      <c r="C889" s="305"/>
      <c r="D889" s="305"/>
      <c r="E889" s="305"/>
      <c r="F889" s="398"/>
      <c r="G889" s="398"/>
      <c r="H889" s="398"/>
      <c r="I889" s="398"/>
      <c r="K889" s="67"/>
      <c r="L889" s="67"/>
      <c r="M889" s="67"/>
      <c r="N889" s="67"/>
    </row>
    <row r="890">
      <c r="A890" s="397"/>
      <c r="B890" s="305"/>
      <c r="C890" s="305"/>
      <c r="D890" s="305"/>
      <c r="E890" s="305"/>
      <c r="F890" s="398"/>
      <c r="G890" s="398"/>
      <c r="H890" s="398"/>
      <c r="I890" s="398"/>
      <c r="K890" s="67"/>
      <c r="L890" s="67"/>
      <c r="M890" s="67"/>
      <c r="N890" s="67"/>
    </row>
    <row r="891">
      <c r="A891" s="397"/>
      <c r="B891" s="305"/>
      <c r="C891" s="305"/>
      <c r="D891" s="305"/>
      <c r="E891" s="305"/>
      <c r="F891" s="398"/>
      <c r="G891" s="398"/>
      <c r="H891" s="398"/>
      <c r="I891" s="398"/>
      <c r="K891" s="67"/>
      <c r="L891" s="67"/>
      <c r="M891" s="67"/>
      <c r="N891" s="67"/>
    </row>
    <row r="892">
      <c r="A892" s="397"/>
      <c r="B892" s="305"/>
      <c r="C892" s="305"/>
      <c r="D892" s="305"/>
      <c r="E892" s="305"/>
      <c r="F892" s="398"/>
      <c r="G892" s="398"/>
      <c r="H892" s="398"/>
      <c r="I892" s="398"/>
      <c r="K892" s="67"/>
      <c r="L892" s="67"/>
      <c r="M892" s="67"/>
      <c r="N892" s="67"/>
    </row>
    <row r="893">
      <c r="A893" s="397"/>
      <c r="B893" s="305"/>
      <c r="C893" s="305"/>
      <c r="D893" s="305"/>
      <c r="E893" s="305"/>
      <c r="F893" s="398"/>
      <c r="G893" s="398"/>
      <c r="H893" s="398"/>
      <c r="I893" s="398"/>
      <c r="K893" s="67"/>
      <c r="L893" s="67"/>
      <c r="M893" s="67"/>
      <c r="N893" s="67"/>
    </row>
    <row r="894">
      <c r="A894" s="397"/>
      <c r="B894" s="305"/>
      <c r="C894" s="305"/>
      <c r="D894" s="305"/>
      <c r="E894" s="305"/>
      <c r="F894" s="398"/>
      <c r="G894" s="398"/>
      <c r="H894" s="398"/>
      <c r="I894" s="398"/>
      <c r="K894" s="67"/>
      <c r="L894" s="67"/>
      <c r="M894" s="67"/>
      <c r="N894" s="67"/>
    </row>
    <row r="895">
      <c r="A895" s="397"/>
      <c r="B895" s="305"/>
      <c r="C895" s="305"/>
      <c r="D895" s="305"/>
      <c r="E895" s="305"/>
      <c r="F895" s="398"/>
      <c r="G895" s="398"/>
      <c r="H895" s="398"/>
      <c r="I895" s="398"/>
      <c r="K895" s="67"/>
      <c r="L895" s="67"/>
      <c r="M895" s="67"/>
      <c r="N895" s="67"/>
    </row>
    <row r="896">
      <c r="A896" s="397"/>
      <c r="B896" s="305"/>
      <c r="C896" s="305"/>
      <c r="D896" s="305"/>
      <c r="E896" s="305"/>
      <c r="F896" s="398"/>
      <c r="G896" s="398"/>
      <c r="H896" s="398"/>
      <c r="I896" s="398"/>
      <c r="K896" s="67"/>
      <c r="L896" s="67"/>
      <c r="M896" s="67"/>
      <c r="N896" s="67"/>
    </row>
    <row r="897">
      <c r="A897" s="397"/>
      <c r="B897" s="305"/>
      <c r="C897" s="305"/>
      <c r="D897" s="305"/>
      <c r="E897" s="305"/>
      <c r="F897" s="398"/>
      <c r="G897" s="398"/>
      <c r="H897" s="398"/>
      <c r="I897" s="398"/>
      <c r="K897" s="67"/>
      <c r="L897" s="67"/>
      <c r="M897" s="67"/>
      <c r="N897" s="67"/>
    </row>
    <row r="898">
      <c r="A898" s="397"/>
      <c r="B898" s="305"/>
      <c r="C898" s="305"/>
      <c r="D898" s="305"/>
      <c r="E898" s="305"/>
      <c r="F898" s="398"/>
      <c r="G898" s="398"/>
      <c r="H898" s="398"/>
      <c r="I898" s="398"/>
      <c r="K898" s="67"/>
      <c r="L898" s="67"/>
      <c r="M898" s="67"/>
      <c r="N898" s="67"/>
    </row>
    <row r="899">
      <c r="A899" s="397"/>
      <c r="B899" s="305"/>
      <c r="C899" s="305"/>
      <c r="D899" s="305"/>
      <c r="E899" s="305"/>
      <c r="F899" s="398"/>
      <c r="G899" s="398"/>
      <c r="H899" s="398"/>
      <c r="I899" s="398"/>
      <c r="K899" s="67"/>
      <c r="L899" s="67"/>
      <c r="M899" s="67"/>
      <c r="N899" s="67"/>
    </row>
    <row r="900">
      <c r="A900" s="397"/>
      <c r="B900" s="305"/>
      <c r="C900" s="305"/>
      <c r="D900" s="305"/>
      <c r="E900" s="305"/>
      <c r="F900" s="398"/>
      <c r="G900" s="398"/>
      <c r="H900" s="398"/>
      <c r="I900" s="398"/>
      <c r="K900" s="67"/>
      <c r="L900" s="67"/>
      <c r="M900" s="67"/>
      <c r="N900" s="67"/>
    </row>
    <row r="901">
      <c r="A901" s="397"/>
      <c r="B901" s="305"/>
      <c r="C901" s="305"/>
      <c r="D901" s="305"/>
      <c r="E901" s="305"/>
      <c r="F901" s="398"/>
      <c r="G901" s="398"/>
      <c r="H901" s="398"/>
      <c r="I901" s="398"/>
      <c r="K901" s="67"/>
      <c r="L901" s="67"/>
      <c r="M901" s="67"/>
      <c r="N901" s="67"/>
    </row>
    <row r="902">
      <c r="A902" s="397"/>
      <c r="B902" s="305"/>
      <c r="C902" s="305"/>
      <c r="D902" s="305"/>
      <c r="E902" s="305"/>
      <c r="F902" s="398"/>
      <c r="G902" s="398"/>
      <c r="H902" s="398"/>
      <c r="I902" s="398"/>
      <c r="K902" s="67"/>
      <c r="L902" s="67"/>
      <c r="M902" s="67"/>
      <c r="N902" s="67"/>
    </row>
    <row r="903">
      <c r="A903" s="397"/>
      <c r="B903" s="305"/>
      <c r="C903" s="305"/>
      <c r="D903" s="305"/>
      <c r="E903" s="305"/>
      <c r="F903" s="398"/>
      <c r="G903" s="398"/>
      <c r="H903" s="398"/>
      <c r="I903" s="398"/>
      <c r="K903" s="67"/>
      <c r="L903" s="67"/>
      <c r="M903" s="67"/>
      <c r="N903" s="67"/>
    </row>
    <row r="904">
      <c r="A904" s="397"/>
      <c r="B904" s="305"/>
      <c r="C904" s="305"/>
      <c r="D904" s="305"/>
      <c r="E904" s="305"/>
      <c r="F904" s="398"/>
      <c r="G904" s="398"/>
      <c r="H904" s="398"/>
      <c r="I904" s="398"/>
      <c r="K904" s="67"/>
      <c r="L904" s="67"/>
      <c r="M904" s="67"/>
      <c r="N904" s="67"/>
    </row>
    <row r="905">
      <c r="A905" s="397"/>
      <c r="B905" s="305"/>
      <c r="C905" s="305"/>
      <c r="D905" s="305"/>
      <c r="E905" s="305"/>
      <c r="F905" s="398"/>
      <c r="G905" s="398"/>
      <c r="H905" s="398"/>
      <c r="I905" s="398"/>
      <c r="K905" s="67"/>
      <c r="L905" s="67"/>
      <c r="M905" s="67"/>
      <c r="N905" s="67"/>
    </row>
    <row r="906">
      <c r="A906" s="397"/>
      <c r="B906" s="305"/>
      <c r="C906" s="305"/>
      <c r="D906" s="305"/>
      <c r="E906" s="305"/>
      <c r="F906" s="398"/>
      <c r="G906" s="398"/>
      <c r="H906" s="398"/>
      <c r="I906" s="398"/>
      <c r="K906" s="67"/>
      <c r="L906" s="67"/>
      <c r="M906" s="67"/>
      <c r="N906" s="67"/>
    </row>
    <row r="907">
      <c r="A907" s="397"/>
      <c r="B907" s="305"/>
      <c r="C907" s="305"/>
      <c r="D907" s="305"/>
      <c r="E907" s="305"/>
      <c r="F907" s="398"/>
      <c r="G907" s="398"/>
      <c r="H907" s="398"/>
      <c r="I907" s="398"/>
      <c r="K907" s="67"/>
      <c r="L907" s="67"/>
      <c r="M907" s="67"/>
      <c r="N907" s="67"/>
    </row>
    <row r="908">
      <c r="A908" s="397"/>
      <c r="B908" s="305"/>
      <c r="C908" s="305"/>
      <c r="D908" s="305"/>
      <c r="E908" s="305"/>
      <c r="F908" s="398"/>
      <c r="G908" s="398"/>
      <c r="H908" s="398"/>
      <c r="I908" s="398"/>
      <c r="K908" s="67"/>
      <c r="L908" s="67"/>
      <c r="M908" s="67"/>
      <c r="N908" s="67"/>
    </row>
    <row r="909">
      <c r="A909" s="397"/>
      <c r="B909" s="305"/>
      <c r="C909" s="305"/>
      <c r="D909" s="305"/>
      <c r="E909" s="305"/>
      <c r="F909" s="398"/>
      <c r="G909" s="398"/>
      <c r="H909" s="398"/>
      <c r="I909" s="398"/>
      <c r="K909" s="67"/>
      <c r="L909" s="67"/>
      <c r="M909" s="67"/>
      <c r="N909" s="67"/>
    </row>
    <row r="910">
      <c r="A910" s="397"/>
      <c r="B910" s="305"/>
      <c r="C910" s="305"/>
      <c r="D910" s="305"/>
      <c r="E910" s="305"/>
      <c r="F910" s="398"/>
      <c r="G910" s="398"/>
      <c r="H910" s="398"/>
      <c r="I910" s="398"/>
      <c r="K910" s="67"/>
      <c r="L910" s="67"/>
      <c r="M910" s="67"/>
      <c r="N910" s="67"/>
    </row>
    <row r="911">
      <c r="A911" s="397"/>
      <c r="B911" s="305"/>
      <c r="C911" s="305"/>
      <c r="D911" s="305"/>
      <c r="E911" s="305"/>
      <c r="F911" s="398"/>
      <c r="G911" s="398"/>
      <c r="H911" s="398"/>
      <c r="I911" s="398"/>
      <c r="K911" s="67"/>
      <c r="L911" s="67"/>
      <c r="M911" s="67"/>
      <c r="N911" s="67"/>
    </row>
    <row r="912">
      <c r="A912" s="397"/>
      <c r="B912" s="305"/>
      <c r="C912" s="305"/>
      <c r="D912" s="305"/>
      <c r="E912" s="305"/>
      <c r="F912" s="398"/>
      <c r="G912" s="398"/>
      <c r="H912" s="398"/>
      <c r="I912" s="398"/>
      <c r="K912" s="67"/>
      <c r="L912" s="67"/>
      <c r="M912" s="67"/>
      <c r="N912" s="67"/>
    </row>
    <row r="913">
      <c r="A913" s="397"/>
      <c r="B913" s="305"/>
      <c r="C913" s="305"/>
      <c r="D913" s="305"/>
      <c r="E913" s="305"/>
      <c r="F913" s="398"/>
      <c r="G913" s="398"/>
      <c r="H913" s="398"/>
      <c r="I913" s="398"/>
      <c r="K913" s="67"/>
      <c r="L913" s="67"/>
      <c r="M913" s="67"/>
      <c r="N913" s="67"/>
    </row>
    <row r="914">
      <c r="A914" s="397"/>
      <c r="B914" s="305"/>
      <c r="C914" s="305"/>
      <c r="D914" s="305"/>
      <c r="E914" s="305"/>
      <c r="F914" s="398"/>
      <c r="G914" s="398"/>
      <c r="H914" s="398"/>
      <c r="I914" s="398"/>
      <c r="K914" s="67"/>
      <c r="L914" s="67"/>
      <c r="M914" s="67"/>
      <c r="N914" s="67"/>
    </row>
    <row r="915">
      <c r="A915" s="397"/>
      <c r="B915" s="305"/>
      <c r="C915" s="305"/>
      <c r="D915" s="305"/>
      <c r="E915" s="305"/>
      <c r="F915" s="398"/>
      <c r="G915" s="398"/>
      <c r="H915" s="398"/>
      <c r="I915" s="398"/>
      <c r="K915" s="67"/>
      <c r="L915" s="67"/>
      <c r="M915" s="67"/>
      <c r="N915" s="67"/>
    </row>
    <row r="916">
      <c r="A916" s="397"/>
      <c r="B916" s="305"/>
      <c r="C916" s="305"/>
      <c r="D916" s="305"/>
      <c r="E916" s="305"/>
      <c r="F916" s="398"/>
      <c r="G916" s="398"/>
      <c r="H916" s="398"/>
      <c r="I916" s="398"/>
      <c r="K916" s="67"/>
      <c r="L916" s="67"/>
      <c r="M916" s="67"/>
      <c r="N916" s="67"/>
    </row>
    <row r="917">
      <c r="A917" s="397"/>
      <c r="B917" s="305"/>
      <c r="C917" s="305"/>
      <c r="D917" s="305"/>
      <c r="E917" s="305"/>
      <c r="F917" s="398"/>
      <c r="G917" s="398"/>
      <c r="H917" s="398"/>
      <c r="I917" s="398"/>
      <c r="K917" s="67"/>
      <c r="L917" s="67"/>
      <c r="M917" s="67"/>
      <c r="N917" s="67"/>
    </row>
    <row r="918">
      <c r="A918" s="397"/>
      <c r="B918" s="305"/>
      <c r="C918" s="305"/>
      <c r="D918" s="305"/>
      <c r="E918" s="305"/>
      <c r="F918" s="398"/>
      <c r="G918" s="398"/>
      <c r="H918" s="398"/>
      <c r="I918" s="398"/>
      <c r="K918" s="67"/>
      <c r="L918" s="67"/>
      <c r="M918" s="67"/>
      <c r="N918" s="67"/>
    </row>
    <row r="919">
      <c r="A919" s="397"/>
      <c r="B919" s="305"/>
      <c r="C919" s="305"/>
      <c r="D919" s="305"/>
      <c r="E919" s="305"/>
      <c r="F919" s="398"/>
      <c r="G919" s="398"/>
      <c r="H919" s="398"/>
      <c r="I919" s="398"/>
      <c r="K919" s="67"/>
      <c r="L919" s="67"/>
      <c r="M919" s="67"/>
      <c r="N919" s="67"/>
    </row>
    <row r="920">
      <c r="A920" s="397"/>
      <c r="B920" s="305"/>
      <c r="C920" s="305"/>
      <c r="D920" s="305"/>
      <c r="E920" s="305"/>
      <c r="F920" s="398"/>
      <c r="G920" s="398"/>
      <c r="H920" s="398"/>
      <c r="I920" s="398"/>
      <c r="K920" s="67"/>
      <c r="L920" s="67"/>
      <c r="M920" s="67"/>
      <c r="N920" s="67"/>
    </row>
    <row r="921">
      <c r="A921" s="397"/>
      <c r="B921" s="305"/>
      <c r="C921" s="305"/>
      <c r="D921" s="305"/>
      <c r="E921" s="305"/>
      <c r="F921" s="398"/>
      <c r="G921" s="398"/>
      <c r="H921" s="398"/>
      <c r="I921" s="398"/>
      <c r="K921" s="67"/>
      <c r="L921" s="67"/>
      <c r="M921" s="67"/>
      <c r="N921" s="67"/>
    </row>
    <row r="922">
      <c r="A922" s="397"/>
      <c r="B922" s="305"/>
      <c r="C922" s="305"/>
      <c r="D922" s="305"/>
      <c r="E922" s="305"/>
      <c r="F922" s="398"/>
      <c r="G922" s="398"/>
      <c r="H922" s="398"/>
      <c r="I922" s="398"/>
      <c r="K922" s="67"/>
      <c r="L922" s="67"/>
      <c r="M922" s="67"/>
      <c r="N922" s="67"/>
    </row>
    <row r="923">
      <c r="A923" s="397"/>
      <c r="B923" s="305"/>
      <c r="C923" s="305"/>
      <c r="D923" s="305"/>
      <c r="E923" s="305"/>
      <c r="F923" s="398"/>
      <c r="G923" s="398"/>
      <c r="H923" s="398"/>
      <c r="I923" s="398"/>
      <c r="K923" s="67"/>
      <c r="L923" s="67"/>
      <c r="M923" s="67"/>
      <c r="N923" s="67"/>
    </row>
    <row r="924">
      <c r="A924" s="397"/>
      <c r="B924" s="305"/>
      <c r="C924" s="305"/>
      <c r="D924" s="305"/>
      <c r="E924" s="305"/>
      <c r="F924" s="398"/>
      <c r="G924" s="398"/>
      <c r="H924" s="398"/>
      <c r="I924" s="398"/>
      <c r="K924" s="67"/>
      <c r="L924" s="67"/>
      <c r="M924" s="67"/>
      <c r="N924" s="67"/>
    </row>
    <row r="925">
      <c r="A925" s="397"/>
      <c r="B925" s="305"/>
      <c r="C925" s="305"/>
      <c r="D925" s="305"/>
      <c r="E925" s="305"/>
      <c r="F925" s="398"/>
      <c r="G925" s="398"/>
      <c r="H925" s="398"/>
      <c r="I925" s="398"/>
      <c r="K925" s="67"/>
      <c r="L925" s="67"/>
      <c r="M925" s="67"/>
      <c r="N925" s="67"/>
    </row>
    <row r="926">
      <c r="A926" s="397"/>
      <c r="B926" s="305"/>
      <c r="C926" s="305"/>
      <c r="D926" s="305"/>
      <c r="E926" s="305"/>
      <c r="F926" s="398"/>
      <c r="G926" s="398"/>
      <c r="H926" s="398"/>
      <c r="I926" s="398"/>
      <c r="K926" s="67"/>
      <c r="L926" s="67"/>
      <c r="M926" s="67"/>
      <c r="N926" s="67"/>
    </row>
    <row r="927">
      <c r="A927" s="397"/>
      <c r="B927" s="305"/>
      <c r="C927" s="305"/>
      <c r="D927" s="305"/>
      <c r="E927" s="305"/>
      <c r="F927" s="398"/>
      <c r="G927" s="398"/>
      <c r="H927" s="398"/>
      <c r="I927" s="398"/>
      <c r="K927" s="67"/>
      <c r="L927" s="67"/>
      <c r="M927" s="67"/>
      <c r="N927" s="67"/>
    </row>
    <row r="928">
      <c r="A928" s="397"/>
      <c r="B928" s="305"/>
      <c r="C928" s="305"/>
      <c r="D928" s="305"/>
      <c r="E928" s="305"/>
      <c r="F928" s="398"/>
      <c r="G928" s="398"/>
      <c r="H928" s="398"/>
      <c r="I928" s="398"/>
      <c r="K928" s="67"/>
      <c r="L928" s="67"/>
      <c r="M928" s="67"/>
      <c r="N928" s="67"/>
    </row>
    <row r="929">
      <c r="A929" s="397"/>
      <c r="B929" s="305"/>
      <c r="C929" s="305"/>
      <c r="D929" s="305"/>
      <c r="E929" s="305"/>
      <c r="F929" s="398"/>
      <c r="G929" s="398"/>
      <c r="H929" s="398"/>
      <c r="I929" s="398"/>
      <c r="K929" s="67"/>
      <c r="L929" s="67"/>
      <c r="M929" s="67"/>
      <c r="N929" s="67"/>
    </row>
    <row r="930">
      <c r="A930" s="397"/>
      <c r="B930" s="305"/>
      <c r="C930" s="305"/>
      <c r="D930" s="305"/>
      <c r="E930" s="305"/>
      <c r="F930" s="398"/>
      <c r="G930" s="398"/>
      <c r="H930" s="398"/>
      <c r="I930" s="398"/>
      <c r="K930" s="67"/>
      <c r="L930" s="67"/>
      <c r="M930" s="67"/>
      <c r="N930" s="67"/>
    </row>
    <row r="931">
      <c r="A931" s="397"/>
      <c r="B931" s="305"/>
      <c r="C931" s="305"/>
      <c r="D931" s="305"/>
      <c r="E931" s="305"/>
      <c r="F931" s="398"/>
      <c r="G931" s="398"/>
      <c r="H931" s="398"/>
      <c r="I931" s="398"/>
      <c r="K931" s="67"/>
      <c r="L931" s="67"/>
      <c r="M931" s="67"/>
      <c r="N931" s="67"/>
    </row>
    <row r="932">
      <c r="A932" s="397"/>
      <c r="B932" s="305"/>
      <c r="C932" s="305"/>
      <c r="D932" s="305"/>
      <c r="E932" s="305"/>
      <c r="F932" s="398"/>
      <c r="G932" s="398"/>
      <c r="H932" s="398"/>
      <c r="I932" s="398"/>
      <c r="K932" s="67"/>
      <c r="L932" s="67"/>
      <c r="M932" s="67"/>
      <c r="N932" s="67"/>
    </row>
    <row r="933">
      <c r="A933" s="397"/>
      <c r="B933" s="305"/>
      <c r="C933" s="305"/>
      <c r="D933" s="305"/>
      <c r="E933" s="305"/>
      <c r="F933" s="398"/>
      <c r="G933" s="398"/>
      <c r="H933" s="398"/>
      <c r="I933" s="398"/>
      <c r="K933" s="67"/>
      <c r="L933" s="67"/>
      <c r="M933" s="67"/>
      <c r="N933" s="67"/>
    </row>
    <row r="934">
      <c r="A934" s="397"/>
      <c r="B934" s="305"/>
      <c r="C934" s="305"/>
      <c r="D934" s="305"/>
      <c r="E934" s="305"/>
      <c r="F934" s="398"/>
      <c r="G934" s="398"/>
      <c r="H934" s="398"/>
      <c r="I934" s="398"/>
      <c r="K934" s="67"/>
      <c r="L934" s="67"/>
      <c r="M934" s="67"/>
      <c r="N934" s="67"/>
    </row>
    <row r="935">
      <c r="A935" s="397"/>
      <c r="B935" s="305"/>
      <c r="C935" s="305"/>
      <c r="D935" s="305"/>
      <c r="E935" s="305"/>
      <c r="F935" s="398"/>
      <c r="G935" s="398"/>
      <c r="H935" s="398"/>
      <c r="I935" s="398"/>
      <c r="K935" s="67"/>
      <c r="L935" s="67"/>
      <c r="M935" s="67"/>
      <c r="N935" s="67"/>
    </row>
    <row r="936">
      <c r="A936" s="397"/>
      <c r="B936" s="305"/>
      <c r="C936" s="305"/>
      <c r="D936" s="305"/>
      <c r="E936" s="305"/>
      <c r="F936" s="398"/>
      <c r="G936" s="398"/>
      <c r="H936" s="398"/>
      <c r="I936" s="398"/>
      <c r="K936" s="67"/>
      <c r="L936" s="67"/>
      <c r="M936" s="67"/>
      <c r="N936" s="67"/>
    </row>
    <row r="937">
      <c r="A937" s="397"/>
      <c r="B937" s="305"/>
      <c r="C937" s="305"/>
      <c r="D937" s="305"/>
      <c r="E937" s="305"/>
      <c r="F937" s="398"/>
      <c r="G937" s="398"/>
      <c r="H937" s="398"/>
      <c r="I937" s="398"/>
      <c r="K937" s="67"/>
      <c r="L937" s="67"/>
      <c r="M937" s="67"/>
      <c r="N937" s="67"/>
    </row>
    <row r="938">
      <c r="A938" s="397"/>
      <c r="B938" s="305"/>
      <c r="C938" s="305"/>
      <c r="D938" s="305"/>
      <c r="E938" s="305"/>
      <c r="F938" s="398"/>
      <c r="G938" s="398"/>
      <c r="H938" s="398"/>
      <c r="I938" s="398"/>
      <c r="K938" s="67"/>
      <c r="L938" s="67"/>
      <c r="M938" s="67"/>
      <c r="N938" s="67"/>
    </row>
    <row r="939">
      <c r="A939" s="397"/>
      <c r="B939" s="305"/>
      <c r="C939" s="305"/>
      <c r="D939" s="305"/>
      <c r="E939" s="305"/>
      <c r="F939" s="398"/>
      <c r="G939" s="398"/>
      <c r="H939" s="398"/>
      <c r="I939" s="398"/>
      <c r="K939" s="67"/>
      <c r="L939" s="67"/>
      <c r="M939" s="67"/>
      <c r="N939" s="67"/>
    </row>
    <row r="940">
      <c r="A940" s="397"/>
      <c r="B940" s="305"/>
      <c r="C940" s="305"/>
      <c r="D940" s="305"/>
      <c r="E940" s="305"/>
      <c r="F940" s="398"/>
      <c r="G940" s="398"/>
      <c r="H940" s="398"/>
      <c r="I940" s="398"/>
      <c r="K940" s="67"/>
      <c r="L940" s="67"/>
      <c r="M940" s="67"/>
      <c r="N940" s="67"/>
    </row>
    <row r="941">
      <c r="A941" s="397"/>
      <c r="B941" s="305"/>
      <c r="C941" s="305"/>
      <c r="D941" s="305"/>
      <c r="E941" s="305"/>
      <c r="F941" s="398"/>
      <c r="G941" s="398"/>
      <c r="H941" s="398"/>
      <c r="I941" s="398"/>
      <c r="K941" s="67"/>
      <c r="L941" s="67"/>
      <c r="M941" s="67"/>
      <c r="N941" s="67"/>
    </row>
    <row r="942">
      <c r="A942" s="397"/>
      <c r="B942" s="305"/>
      <c r="C942" s="305"/>
      <c r="D942" s="305"/>
      <c r="E942" s="305"/>
      <c r="F942" s="398"/>
      <c r="G942" s="398"/>
      <c r="H942" s="398"/>
      <c r="I942" s="398"/>
      <c r="K942" s="67"/>
      <c r="L942" s="67"/>
      <c r="M942" s="67"/>
      <c r="N942" s="67"/>
    </row>
    <row r="943">
      <c r="A943" s="397"/>
      <c r="B943" s="305"/>
      <c r="C943" s="305"/>
      <c r="D943" s="305"/>
      <c r="E943" s="305"/>
      <c r="F943" s="398"/>
      <c r="G943" s="398"/>
      <c r="H943" s="398"/>
      <c r="I943" s="398"/>
      <c r="K943" s="67"/>
      <c r="L943" s="67"/>
      <c r="M943" s="67"/>
      <c r="N943" s="67"/>
    </row>
    <row r="944">
      <c r="A944" s="397"/>
      <c r="B944" s="305"/>
      <c r="C944" s="305"/>
      <c r="D944" s="305"/>
      <c r="E944" s="305"/>
      <c r="F944" s="398"/>
      <c r="G944" s="398"/>
      <c r="H944" s="398"/>
      <c r="I944" s="398"/>
      <c r="K944" s="67"/>
      <c r="L944" s="67"/>
      <c r="M944" s="67"/>
      <c r="N944" s="67"/>
    </row>
    <row r="945">
      <c r="A945" s="397"/>
      <c r="B945" s="305"/>
      <c r="C945" s="305"/>
      <c r="D945" s="305"/>
      <c r="E945" s="305"/>
      <c r="F945" s="398"/>
      <c r="G945" s="398"/>
      <c r="H945" s="398"/>
      <c r="I945" s="398"/>
      <c r="K945" s="67"/>
      <c r="L945" s="67"/>
      <c r="M945" s="67"/>
      <c r="N945" s="67"/>
    </row>
    <row r="946">
      <c r="A946" s="397"/>
      <c r="B946" s="305"/>
      <c r="C946" s="305"/>
      <c r="D946" s="305"/>
      <c r="E946" s="305"/>
      <c r="F946" s="398"/>
      <c r="G946" s="398"/>
      <c r="H946" s="398"/>
      <c r="I946" s="398"/>
      <c r="K946" s="67"/>
      <c r="L946" s="67"/>
      <c r="M946" s="67"/>
      <c r="N946" s="67"/>
    </row>
    <row r="947">
      <c r="A947" s="397"/>
      <c r="B947" s="305"/>
      <c r="C947" s="305"/>
      <c r="D947" s="305"/>
      <c r="E947" s="305"/>
      <c r="F947" s="398"/>
      <c r="G947" s="398"/>
      <c r="H947" s="398"/>
      <c r="I947" s="398"/>
      <c r="K947" s="67"/>
      <c r="L947" s="67"/>
      <c r="M947" s="67"/>
      <c r="N947" s="67"/>
    </row>
    <row r="948">
      <c r="A948" s="397"/>
      <c r="B948" s="305"/>
      <c r="C948" s="305"/>
      <c r="D948" s="305"/>
      <c r="E948" s="305"/>
      <c r="F948" s="398"/>
      <c r="G948" s="398"/>
      <c r="H948" s="398"/>
      <c r="I948" s="398"/>
      <c r="K948" s="67"/>
      <c r="L948" s="67"/>
      <c r="M948" s="67"/>
      <c r="N948" s="67"/>
    </row>
    <row r="949">
      <c r="A949" s="397"/>
      <c r="B949" s="305"/>
      <c r="C949" s="305"/>
      <c r="D949" s="305"/>
      <c r="E949" s="305"/>
      <c r="F949" s="398"/>
      <c r="G949" s="398"/>
      <c r="H949" s="398"/>
      <c r="I949" s="398"/>
      <c r="K949" s="67"/>
      <c r="L949" s="67"/>
      <c r="M949" s="67"/>
      <c r="N949" s="67"/>
    </row>
    <row r="950">
      <c r="A950" s="397"/>
      <c r="B950" s="305"/>
      <c r="C950" s="305"/>
      <c r="D950" s="305"/>
      <c r="E950" s="305"/>
      <c r="F950" s="398"/>
      <c r="G950" s="398"/>
      <c r="H950" s="398"/>
      <c r="I950" s="398"/>
      <c r="K950" s="67"/>
      <c r="L950" s="67"/>
      <c r="M950" s="67"/>
      <c r="N950" s="67"/>
    </row>
    <row r="951">
      <c r="A951" s="397"/>
      <c r="B951" s="305"/>
      <c r="C951" s="305"/>
      <c r="D951" s="305"/>
      <c r="E951" s="305"/>
      <c r="F951" s="398"/>
      <c r="G951" s="398"/>
      <c r="H951" s="398"/>
      <c r="I951" s="398"/>
      <c r="K951" s="67"/>
      <c r="L951" s="67"/>
      <c r="M951" s="67"/>
      <c r="N951" s="67"/>
    </row>
    <row r="952">
      <c r="A952" s="397"/>
      <c r="B952" s="305"/>
      <c r="C952" s="305"/>
      <c r="D952" s="305"/>
      <c r="E952" s="305"/>
      <c r="F952" s="398"/>
      <c r="G952" s="398"/>
      <c r="H952" s="398"/>
      <c r="I952" s="398"/>
      <c r="K952" s="67"/>
      <c r="L952" s="67"/>
      <c r="M952" s="67"/>
      <c r="N952" s="67"/>
    </row>
    <row r="953">
      <c r="A953" s="397"/>
      <c r="B953" s="305"/>
      <c r="C953" s="305"/>
      <c r="D953" s="305"/>
      <c r="E953" s="305"/>
      <c r="F953" s="398"/>
      <c r="G953" s="398"/>
      <c r="H953" s="398"/>
      <c r="I953" s="398"/>
      <c r="K953" s="67"/>
      <c r="L953" s="67"/>
      <c r="M953" s="67"/>
      <c r="N953" s="67"/>
    </row>
    <row r="954">
      <c r="A954" s="397"/>
      <c r="B954" s="305"/>
      <c r="C954" s="305"/>
      <c r="D954" s="305"/>
      <c r="E954" s="305"/>
      <c r="F954" s="398"/>
      <c r="G954" s="398"/>
      <c r="H954" s="398"/>
      <c r="I954" s="398"/>
      <c r="K954" s="67"/>
      <c r="L954" s="67"/>
      <c r="M954" s="67"/>
      <c r="N954" s="67"/>
    </row>
    <row r="955">
      <c r="A955" s="397"/>
      <c r="B955" s="305"/>
      <c r="C955" s="305"/>
      <c r="D955" s="305"/>
      <c r="E955" s="305"/>
      <c r="F955" s="398"/>
      <c r="G955" s="398"/>
      <c r="H955" s="398"/>
      <c r="I955" s="398"/>
      <c r="K955" s="67"/>
      <c r="L955" s="67"/>
      <c r="M955" s="67"/>
      <c r="N955" s="67"/>
    </row>
    <row r="956">
      <c r="A956" s="397"/>
      <c r="B956" s="305"/>
      <c r="C956" s="305"/>
      <c r="D956" s="305"/>
      <c r="E956" s="305"/>
      <c r="F956" s="398"/>
      <c r="G956" s="398"/>
      <c r="H956" s="398"/>
      <c r="I956" s="398"/>
      <c r="K956" s="67"/>
      <c r="L956" s="67"/>
      <c r="M956" s="67"/>
      <c r="N956" s="67"/>
    </row>
    <row r="957">
      <c r="A957" s="397"/>
      <c r="B957" s="305"/>
      <c r="C957" s="305"/>
      <c r="D957" s="305"/>
      <c r="E957" s="305"/>
      <c r="F957" s="398"/>
      <c r="G957" s="398"/>
      <c r="H957" s="398"/>
      <c r="I957" s="398"/>
      <c r="K957" s="67"/>
      <c r="L957" s="67"/>
      <c r="M957" s="67"/>
      <c r="N957" s="67"/>
    </row>
    <row r="958">
      <c r="A958" s="397"/>
      <c r="B958" s="305"/>
      <c r="C958" s="305"/>
      <c r="D958" s="305"/>
      <c r="E958" s="305"/>
      <c r="F958" s="398"/>
      <c r="G958" s="398"/>
      <c r="H958" s="398"/>
      <c r="I958" s="398"/>
      <c r="K958" s="67"/>
      <c r="L958" s="67"/>
      <c r="M958" s="67"/>
      <c r="N958" s="67"/>
    </row>
    <row r="959">
      <c r="A959" s="397"/>
      <c r="B959" s="305"/>
      <c r="C959" s="305"/>
      <c r="D959" s="305"/>
      <c r="E959" s="305"/>
      <c r="F959" s="398"/>
      <c r="G959" s="398"/>
      <c r="H959" s="398"/>
      <c r="I959" s="398"/>
      <c r="K959" s="67"/>
      <c r="L959" s="67"/>
      <c r="M959" s="67"/>
      <c r="N959" s="67"/>
    </row>
    <row r="960">
      <c r="A960" s="397"/>
      <c r="B960" s="305"/>
      <c r="C960" s="305"/>
      <c r="D960" s="305"/>
      <c r="E960" s="305"/>
      <c r="F960" s="398"/>
      <c r="G960" s="398"/>
      <c r="H960" s="398"/>
      <c r="I960" s="398"/>
      <c r="K960" s="67"/>
      <c r="L960" s="67"/>
      <c r="M960" s="67"/>
      <c r="N960" s="67"/>
    </row>
    <row r="961">
      <c r="A961" s="397"/>
      <c r="B961" s="305"/>
      <c r="C961" s="305"/>
      <c r="D961" s="305"/>
      <c r="E961" s="305"/>
      <c r="F961" s="398"/>
      <c r="G961" s="398"/>
      <c r="H961" s="398"/>
      <c r="I961" s="398"/>
      <c r="K961" s="67"/>
      <c r="L961" s="67"/>
      <c r="M961" s="67"/>
      <c r="N961" s="67"/>
    </row>
    <row r="962">
      <c r="A962" s="397"/>
      <c r="B962" s="305"/>
      <c r="C962" s="305"/>
      <c r="D962" s="305"/>
      <c r="E962" s="305"/>
      <c r="F962" s="398"/>
      <c r="G962" s="398"/>
      <c r="H962" s="398"/>
      <c r="I962" s="398"/>
      <c r="K962" s="67"/>
      <c r="L962" s="67"/>
      <c r="M962" s="67"/>
      <c r="N962" s="67"/>
    </row>
    <row r="963">
      <c r="A963" s="397"/>
      <c r="B963" s="305"/>
      <c r="C963" s="305"/>
      <c r="D963" s="305"/>
      <c r="E963" s="305"/>
      <c r="F963" s="398"/>
      <c r="G963" s="398"/>
      <c r="H963" s="398"/>
      <c r="I963" s="398"/>
      <c r="K963" s="67"/>
      <c r="L963" s="67"/>
      <c r="M963" s="67"/>
      <c r="N963" s="67"/>
    </row>
    <row r="964">
      <c r="A964" s="397"/>
      <c r="B964" s="305"/>
      <c r="C964" s="305"/>
      <c r="D964" s="305"/>
      <c r="E964" s="305"/>
      <c r="F964" s="398"/>
      <c r="G964" s="398"/>
      <c r="H964" s="398"/>
      <c r="I964" s="398"/>
      <c r="K964" s="67"/>
      <c r="L964" s="67"/>
      <c r="M964" s="67"/>
      <c r="N964" s="67"/>
    </row>
    <row r="965">
      <c r="A965" s="397"/>
      <c r="B965" s="305"/>
      <c r="C965" s="305"/>
      <c r="D965" s="305"/>
      <c r="E965" s="305"/>
      <c r="F965" s="398"/>
      <c r="G965" s="398"/>
      <c r="H965" s="398"/>
      <c r="I965" s="398"/>
      <c r="K965" s="67"/>
      <c r="L965" s="67"/>
      <c r="M965" s="67"/>
      <c r="N965" s="67"/>
    </row>
    <row r="966">
      <c r="A966" s="397"/>
      <c r="B966" s="305"/>
      <c r="C966" s="305"/>
      <c r="D966" s="305"/>
      <c r="E966" s="305"/>
      <c r="F966" s="398"/>
      <c r="G966" s="398"/>
      <c r="H966" s="398"/>
      <c r="I966" s="398"/>
      <c r="K966" s="67"/>
      <c r="L966" s="67"/>
      <c r="M966" s="67"/>
      <c r="N966" s="67"/>
    </row>
    <row r="967">
      <c r="A967" s="397"/>
      <c r="B967" s="305"/>
      <c r="C967" s="305"/>
      <c r="D967" s="305"/>
      <c r="E967" s="305"/>
      <c r="F967" s="398"/>
      <c r="G967" s="398"/>
      <c r="H967" s="398"/>
      <c r="I967" s="398"/>
      <c r="K967" s="67"/>
      <c r="L967" s="67"/>
      <c r="M967" s="67"/>
      <c r="N967" s="67"/>
    </row>
    <row r="968">
      <c r="A968" s="397"/>
      <c r="B968" s="305"/>
      <c r="C968" s="305"/>
      <c r="D968" s="305"/>
      <c r="E968" s="305"/>
      <c r="F968" s="398"/>
      <c r="G968" s="398"/>
      <c r="H968" s="398"/>
      <c r="I968" s="398"/>
      <c r="K968" s="67"/>
      <c r="L968" s="67"/>
      <c r="M968" s="67"/>
      <c r="N968" s="67"/>
    </row>
    <row r="969">
      <c r="A969" s="397"/>
      <c r="B969" s="305"/>
      <c r="C969" s="305"/>
      <c r="D969" s="305"/>
      <c r="E969" s="305"/>
      <c r="F969" s="398"/>
      <c r="G969" s="398"/>
      <c r="H969" s="398"/>
      <c r="I969" s="398"/>
      <c r="K969" s="67"/>
      <c r="L969" s="67"/>
      <c r="M969" s="67"/>
      <c r="N969" s="67"/>
    </row>
    <row r="970">
      <c r="A970" s="397"/>
      <c r="B970" s="305"/>
      <c r="C970" s="305"/>
      <c r="D970" s="305"/>
      <c r="E970" s="305"/>
      <c r="F970" s="398"/>
      <c r="G970" s="398"/>
      <c r="H970" s="398"/>
      <c r="I970" s="398"/>
      <c r="K970" s="67"/>
      <c r="L970" s="67"/>
      <c r="M970" s="67"/>
      <c r="N970" s="67"/>
    </row>
    <row r="971">
      <c r="A971" s="397"/>
      <c r="B971" s="305"/>
      <c r="C971" s="305"/>
      <c r="D971" s="305"/>
      <c r="E971" s="305"/>
      <c r="F971" s="398"/>
      <c r="G971" s="398"/>
      <c r="H971" s="398"/>
      <c r="I971" s="398"/>
      <c r="K971" s="67"/>
      <c r="L971" s="67"/>
      <c r="M971" s="67"/>
      <c r="N971" s="67"/>
    </row>
    <row r="972">
      <c r="A972" s="397"/>
      <c r="B972" s="305"/>
      <c r="C972" s="305"/>
      <c r="D972" s="305"/>
      <c r="E972" s="305"/>
      <c r="F972" s="398"/>
      <c r="G972" s="398"/>
      <c r="H972" s="398"/>
      <c r="I972" s="398"/>
      <c r="K972" s="67"/>
      <c r="L972" s="67"/>
      <c r="M972" s="67"/>
      <c r="N972" s="67"/>
    </row>
    <row r="973">
      <c r="A973" s="397"/>
      <c r="B973" s="305"/>
      <c r="C973" s="305"/>
      <c r="D973" s="305"/>
      <c r="E973" s="305"/>
      <c r="F973" s="398"/>
      <c r="G973" s="398"/>
      <c r="H973" s="398"/>
      <c r="I973" s="398"/>
      <c r="K973" s="67"/>
      <c r="L973" s="67"/>
      <c r="M973" s="67"/>
      <c r="N973" s="67"/>
    </row>
    <row r="974">
      <c r="A974" s="397"/>
      <c r="B974" s="305"/>
      <c r="C974" s="305"/>
      <c r="D974" s="305"/>
      <c r="E974" s="305"/>
      <c r="F974" s="398"/>
      <c r="G974" s="398"/>
      <c r="H974" s="398"/>
      <c r="I974" s="398"/>
      <c r="K974" s="67"/>
      <c r="L974" s="67"/>
      <c r="M974" s="67"/>
      <c r="N974" s="67"/>
    </row>
    <row r="975">
      <c r="A975" s="397"/>
      <c r="B975" s="305"/>
      <c r="C975" s="305"/>
      <c r="D975" s="305"/>
      <c r="E975" s="305"/>
      <c r="F975" s="398"/>
      <c r="G975" s="398"/>
      <c r="H975" s="398"/>
      <c r="I975" s="398"/>
      <c r="K975" s="67"/>
      <c r="L975" s="67"/>
      <c r="M975" s="67"/>
      <c r="N975" s="67"/>
    </row>
    <row r="976">
      <c r="A976" s="397"/>
      <c r="B976" s="305"/>
      <c r="C976" s="305"/>
      <c r="D976" s="305"/>
      <c r="E976" s="305"/>
      <c r="F976" s="398"/>
      <c r="G976" s="398"/>
      <c r="H976" s="398"/>
      <c r="I976" s="398"/>
      <c r="K976" s="67"/>
      <c r="L976" s="67"/>
      <c r="M976" s="67"/>
      <c r="N976" s="67"/>
    </row>
    <row r="977">
      <c r="A977" s="397"/>
      <c r="B977" s="305"/>
      <c r="C977" s="305"/>
      <c r="D977" s="305"/>
      <c r="E977" s="305"/>
      <c r="F977" s="398"/>
      <c r="G977" s="398"/>
      <c r="H977" s="398"/>
      <c r="I977" s="398"/>
      <c r="K977" s="67"/>
      <c r="L977" s="67"/>
      <c r="M977" s="67"/>
      <c r="N977" s="67"/>
    </row>
    <row r="978">
      <c r="A978" s="397"/>
      <c r="B978" s="305"/>
      <c r="C978" s="305"/>
      <c r="D978" s="305"/>
      <c r="E978" s="305"/>
      <c r="F978" s="398"/>
      <c r="G978" s="398"/>
      <c r="H978" s="398"/>
      <c r="I978" s="398"/>
      <c r="K978" s="67"/>
      <c r="L978" s="67"/>
      <c r="M978" s="67"/>
      <c r="N978" s="67"/>
    </row>
    <row r="979">
      <c r="A979" s="397"/>
      <c r="B979" s="305"/>
      <c r="C979" s="305"/>
      <c r="D979" s="305"/>
      <c r="E979" s="305"/>
      <c r="F979" s="398"/>
      <c r="G979" s="398"/>
      <c r="H979" s="398"/>
      <c r="I979" s="398"/>
      <c r="K979" s="67"/>
      <c r="L979" s="67"/>
      <c r="M979" s="67"/>
      <c r="N979" s="67"/>
    </row>
    <row r="980">
      <c r="A980" s="397"/>
      <c r="B980" s="305"/>
      <c r="C980" s="305"/>
      <c r="D980" s="305"/>
      <c r="E980" s="305"/>
      <c r="F980" s="398"/>
      <c r="G980" s="398"/>
      <c r="H980" s="398"/>
      <c r="I980" s="398"/>
      <c r="K980" s="67"/>
      <c r="L980" s="67"/>
      <c r="M980" s="67"/>
      <c r="N980" s="67"/>
    </row>
    <row r="981">
      <c r="A981" s="397"/>
      <c r="B981" s="305"/>
      <c r="C981" s="305"/>
      <c r="D981" s="305"/>
      <c r="E981" s="305"/>
      <c r="F981" s="398"/>
      <c r="G981" s="398"/>
      <c r="H981" s="398"/>
      <c r="I981" s="398"/>
      <c r="K981" s="67"/>
      <c r="L981" s="67"/>
      <c r="M981" s="67"/>
      <c r="N981" s="67"/>
    </row>
    <row r="982">
      <c r="A982" s="397"/>
      <c r="B982" s="305"/>
      <c r="C982" s="305"/>
      <c r="D982" s="305"/>
      <c r="E982" s="305"/>
      <c r="F982" s="398"/>
      <c r="G982" s="398"/>
      <c r="H982" s="398"/>
      <c r="I982" s="398"/>
      <c r="K982" s="67"/>
      <c r="L982" s="67"/>
      <c r="M982" s="67"/>
      <c r="N982" s="67"/>
    </row>
    <row r="983">
      <c r="A983" s="397"/>
      <c r="B983" s="305"/>
      <c r="C983" s="305"/>
      <c r="D983" s="305"/>
      <c r="E983" s="305"/>
      <c r="F983" s="398"/>
      <c r="G983" s="398"/>
      <c r="H983" s="398"/>
      <c r="I983" s="398"/>
      <c r="K983" s="67"/>
      <c r="L983" s="67"/>
      <c r="M983" s="67"/>
      <c r="N983" s="67"/>
    </row>
    <row r="984">
      <c r="A984" s="397"/>
      <c r="B984" s="305"/>
      <c r="C984" s="305"/>
      <c r="D984" s="305"/>
      <c r="E984" s="305"/>
      <c r="F984" s="398"/>
      <c r="G984" s="398"/>
      <c r="H984" s="398"/>
      <c r="I984" s="398"/>
      <c r="K984" s="67"/>
      <c r="L984" s="67"/>
      <c r="M984" s="67"/>
      <c r="N984" s="67"/>
    </row>
    <row r="985">
      <c r="A985" s="397"/>
      <c r="B985" s="305"/>
      <c r="C985" s="305"/>
      <c r="D985" s="305"/>
      <c r="E985" s="305"/>
      <c r="F985" s="398"/>
      <c r="G985" s="398"/>
      <c r="H985" s="398"/>
      <c r="I985" s="398"/>
      <c r="K985" s="67"/>
      <c r="L985" s="67"/>
      <c r="M985" s="67"/>
      <c r="N985" s="67"/>
    </row>
    <row r="986">
      <c r="A986" s="397"/>
      <c r="B986" s="305"/>
      <c r="C986" s="305"/>
      <c r="D986" s="305"/>
      <c r="E986" s="305"/>
      <c r="F986" s="398"/>
      <c r="G986" s="398"/>
      <c r="H986" s="398"/>
      <c r="I986" s="398"/>
      <c r="K986" s="67"/>
      <c r="L986" s="67"/>
      <c r="M986" s="67"/>
      <c r="N986" s="67"/>
    </row>
    <row r="987">
      <c r="A987" s="397"/>
      <c r="B987" s="305"/>
      <c r="C987" s="305"/>
      <c r="D987" s="305"/>
      <c r="E987" s="305"/>
      <c r="F987" s="398"/>
      <c r="G987" s="398"/>
      <c r="H987" s="398"/>
      <c r="I987" s="398"/>
      <c r="K987" s="67"/>
      <c r="L987" s="67"/>
      <c r="M987" s="67"/>
      <c r="N987" s="67"/>
    </row>
    <row r="988">
      <c r="A988" s="397"/>
      <c r="B988" s="305"/>
      <c r="C988" s="305"/>
      <c r="D988" s="305"/>
      <c r="E988" s="305"/>
      <c r="F988" s="398"/>
      <c r="G988" s="398"/>
      <c r="H988" s="398"/>
      <c r="I988" s="398"/>
      <c r="K988" s="67"/>
      <c r="L988" s="67"/>
      <c r="M988" s="67"/>
      <c r="N988" s="67"/>
    </row>
    <row r="989">
      <c r="A989" s="397"/>
      <c r="B989" s="305"/>
      <c r="C989" s="305"/>
      <c r="D989" s="305"/>
      <c r="E989" s="305"/>
      <c r="F989" s="398"/>
      <c r="G989" s="398"/>
      <c r="H989" s="398"/>
      <c r="I989" s="398"/>
      <c r="K989" s="67"/>
      <c r="L989" s="67"/>
      <c r="M989" s="67"/>
      <c r="N989" s="67"/>
    </row>
    <row r="990">
      <c r="A990" s="397"/>
      <c r="B990" s="305"/>
      <c r="C990" s="305"/>
      <c r="D990" s="305"/>
      <c r="E990" s="305"/>
      <c r="F990" s="398"/>
      <c r="G990" s="398"/>
      <c r="H990" s="398"/>
      <c r="I990" s="398"/>
      <c r="K990" s="67"/>
      <c r="L990" s="67"/>
      <c r="M990" s="67"/>
      <c r="N990" s="67"/>
    </row>
    <row r="991">
      <c r="A991" s="397"/>
      <c r="B991" s="305"/>
      <c r="C991" s="305"/>
      <c r="D991" s="305"/>
      <c r="E991" s="305"/>
      <c r="F991" s="398"/>
      <c r="G991" s="398"/>
      <c r="H991" s="398"/>
      <c r="I991" s="398"/>
      <c r="K991" s="67"/>
      <c r="L991" s="67"/>
      <c r="M991" s="67"/>
      <c r="N991" s="67"/>
    </row>
    <row r="992">
      <c r="A992" s="397"/>
      <c r="B992" s="305"/>
      <c r="C992" s="305"/>
      <c r="D992" s="305"/>
      <c r="E992" s="305"/>
      <c r="F992" s="398"/>
      <c r="G992" s="398"/>
      <c r="H992" s="398"/>
      <c r="I992" s="398"/>
      <c r="K992" s="67"/>
      <c r="L992" s="67"/>
      <c r="M992" s="67"/>
      <c r="N992" s="67"/>
    </row>
    <row r="993">
      <c r="A993" s="397"/>
      <c r="B993" s="305"/>
      <c r="C993" s="305"/>
      <c r="D993" s="305"/>
      <c r="E993" s="305"/>
      <c r="F993" s="398"/>
      <c r="G993" s="398"/>
      <c r="H993" s="398"/>
      <c r="I993" s="398"/>
      <c r="K993" s="67"/>
      <c r="L993" s="67"/>
      <c r="M993" s="67"/>
      <c r="N993" s="67"/>
    </row>
    <row r="994">
      <c r="A994" s="397"/>
      <c r="B994" s="305"/>
      <c r="C994" s="305"/>
      <c r="D994" s="305"/>
      <c r="E994" s="305"/>
      <c r="F994" s="398"/>
      <c r="G994" s="398"/>
      <c r="H994" s="398"/>
      <c r="I994" s="398"/>
      <c r="K994" s="67"/>
      <c r="L994" s="67"/>
      <c r="M994" s="67"/>
      <c r="N994" s="67"/>
    </row>
    <row r="995">
      <c r="A995" s="397"/>
      <c r="B995" s="305"/>
      <c r="C995" s="305"/>
      <c r="D995" s="305"/>
      <c r="E995" s="305"/>
      <c r="F995" s="398"/>
      <c r="G995" s="398"/>
      <c r="H995" s="398"/>
      <c r="I995" s="398"/>
      <c r="K995" s="67"/>
      <c r="L995" s="67"/>
      <c r="M995" s="67"/>
      <c r="N995" s="67"/>
    </row>
    <row r="996">
      <c r="A996" s="397"/>
      <c r="B996" s="305"/>
      <c r="C996" s="305"/>
      <c r="D996" s="305"/>
      <c r="E996" s="305"/>
      <c r="F996" s="398"/>
      <c r="G996" s="398"/>
      <c r="H996" s="398"/>
      <c r="I996" s="398"/>
      <c r="K996" s="67"/>
      <c r="L996" s="67"/>
      <c r="M996" s="67"/>
      <c r="N996" s="67"/>
    </row>
    <row r="997">
      <c r="A997" s="397"/>
      <c r="B997" s="305"/>
      <c r="C997" s="305"/>
      <c r="D997" s="305"/>
      <c r="E997" s="305"/>
      <c r="F997" s="398"/>
      <c r="G997" s="398"/>
      <c r="H997" s="398"/>
      <c r="I997" s="398"/>
      <c r="K997" s="67"/>
      <c r="L997" s="67"/>
      <c r="M997" s="67"/>
      <c r="N997" s="67"/>
    </row>
    <row r="998">
      <c r="A998" s="397"/>
      <c r="B998" s="305"/>
      <c r="C998" s="305"/>
      <c r="D998" s="305"/>
      <c r="E998" s="305"/>
      <c r="F998" s="398"/>
      <c r="G998" s="398"/>
      <c r="H998" s="398"/>
      <c r="I998" s="398"/>
      <c r="K998" s="67"/>
      <c r="L998" s="67"/>
      <c r="M998" s="67"/>
      <c r="N998" s="67"/>
    </row>
    <row r="999">
      <c r="A999" s="397"/>
      <c r="B999" s="305"/>
      <c r="C999" s="305"/>
      <c r="D999" s="305"/>
      <c r="E999" s="305"/>
      <c r="F999" s="398"/>
      <c r="G999" s="398"/>
      <c r="H999" s="398"/>
      <c r="I999" s="398"/>
      <c r="K999" s="67"/>
      <c r="L999" s="67"/>
      <c r="M999" s="67"/>
      <c r="N999" s="67"/>
    </row>
    <row r="1000">
      <c r="A1000" s="397"/>
      <c r="B1000" s="305"/>
      <c r="C1000" s="305"/>
      <c r="D1000" s="305"/>
      <c r="E1000" s="305"/>
      <c r="F1000" s="398"/>
      <c r="G1000" s="398"/>
      <c r="H1000" s="398"/>
      <c r="I1000" s="398"/>
      <c r="K1000" s="67"/>
      <c r="L1000" s="67"/>
      <c r="M1000" s="67"/>
      <c r="N1000" s="67"/>
    </row>
    <row r="1001">
      <c r="A1001" s="397"/>
      <c r="B1001" s="305"/>
      <c r="C1001" s="305"/>
      <c r="D1001" s="305"/>
      <c r="E1001" s="305"/>
      <c r="F1001" s="398"/>
      <c r="G1001" s="398"/>
      <c r="H1001" s="398"/>
      <c r="I1001" s="398"/>
      <c r="K1001" s="67"/>
      <c r="L1001" s="67"/>
      <c r="M1001" s="67"/>
      <c r="N1001" s="67"/>
    </row>
  </sheetData>
  <mergeCells count="6">
    <mergeCell ref="A2:E2"/>
    <mergeCell ref="K2:N2"/>
    <mergeCell ref="P2:S2"/>
    <mergeCell ref="A20:C20"/>
    <mergeCell ref="G20:H20"/>
    <mergeCell ref="G27:I27"/>
  </mergeCells>
  <drawing r:id="rId1"/>
</worksheet>
</file>